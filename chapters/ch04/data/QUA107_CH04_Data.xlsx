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time Hours" sheetId="2" state="visible" r:id="rId2"/>
    <sheet xmlns:r="http://schemas.openxmlformats.org/officeDocument/2006/relationships" name="Skewness Calc" sheetId="3" state="visible" r:id="rId3"/>
    <sheet xmlns:r="http://schemas.openxmlformats.org/officeDocument/2006/relationships" name="City Sales" sheetId="4" state="visible" r:id="rId4"/>
    <sheet xmlns:r="http://schemas.openxmlformats.org/officeDocument/2006/relationships" name="Ice Cream Sales" sheetId="5" state="visible" r:id="rId5"/>
    <sheet xmlns:r="http://schemas.openxmlformats.org/officeDocument/2006/relationships" name="Training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B5F86"/>
      <sz val="13"/>
    </font>
    <font>
      <name val="Arial"/>
      <b val="1"/>
      <color rgb="00FFFFFF"/>
    </font>
    <font>
      <name val="Arial"/>
    </font>
    <font>
      <name val="Arial"/>
      <i val="1"/>
      <color rgb="00748995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8DC3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0" fillId="3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20" customWidth="1" min="3" max="3"/>
  </cols>
  <sheetData>
    <row r="1">
      <c r="A1" s="1" t="inlineStr">
        <is>
          <t>QUA 107 · Chapter 4 · Describing Data: Displaying and Exploring Data · data workbook</t>
        </is>
      </c>
    </row>
    <row r="2">
      <c r="A2" t="inlineStr"/>
    </row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Used on slides</t>
        </is>
      </c>
    </row>
    <row r="4">
      <c r="A4" s="3" t="inlineStr">
        <is>
          <t>Overtime Hours</t>
        </is>
      </c>
      <c r="B4" s="3" t="inlineStr">
        <is>
          <t>Overtime hours of 15 factory employees: five-number summary, IQR, outlier boundaries, Pearson and software skewness</t>
        </is>
      </c>
      <c r="C4" s="3" t="inlineStr">
        <is>
          <t>Slides 8, 9, 15, 16</t>
        </is>
      </c>
    </row>
    <row r="5">
      <c r="A5" s="3" t="inlineStr">
        <is>
          <t>Skewness Calc</t>
        </is>
      </c>
      <c r="B5" s="3" t="inlineStr">
        <is>
          <t>The full software-method table: standardized values, cubes, the sum and the coefficient</t>
        </is>
      </c>
      <c r="C5" s="3" t="inlineStr">
        <is>
          <t>Slide 15</t>
        </is>
      </c>
    </row>
    <row r="6">
      <c r="A6" s="3" t="inlineStr">
        <is>
          <t>City Sales</t>
        </is>
      </c>
      <c r="B6" s="3" t="inlineStr">
        <is>
          <t>Quarterly Saudia Ice Cream sales in Riyadh and Jeddah (sold through retailers and ice cream trucks), 15 quarters each, in '000 riyals</t>
        </is>
      </c>
      <c r="C6" s="3" t="inlineStr">
        <is>
          <t>Slide 10</t>
        </is>
      </c>
    </row>
    <row r="7">
      <c r="A7" s="3" t="inlineStr">
        <is>
          <t>Ice Cream Sales</t>
        </is>
      </c>
      <c r="B7" s="3" t="inlineStr">
        <is>
          <t>Temperature and daily sales at the kiosk, 10 days: means, standard deviations and r</t>
        </is>
      </c>
      <c r="C7" s="3" t="inlineStr">
        <is>
          <t>Slides 23 to 25</t>
        </is>
      </c>
    </row>
    <row r="8">
      <c r="A8" s="3" t="inlineStr">
        <is>
          <t>Training Table</t>
        </is>
      </c>
      <c r="B8" s="3" t="inlineStr">
        <is>
          <t>220 employees by department and training status: the contingency table with percentages</t>
        </is>
      </c>
      <c r="C8" s="3" t="inlineStr">
        <is>
          <t>Slide 29</t>
        </is>
      </c>
    </row>
    <row r="9">
      <c r="A9" t="inlineStr"/>
    </row>
    <row r="10">
      <c r="A10" s="4" t="inlineStr">
        <is>
          <t>All money amounts are in Saudi riyals. Yellow cells are data you may change; the formulas recalculate.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6" customWidth="1" min="4" max="4"/>
    <col width="14" customWidth="1" min="5" max="5"/>
  </cols>
  <sheetData>
    <row r="1">
      <c r="A1" s="2" t="inlineStr">
        <is>
          <t>Overtime hours</t>
        </is>
      </c>
    </row>
    <row r="2">
      <c r="A2" s="5" t="n">
        <v>0</v>
      </c>
      <c r="D2" s="6" t="inlineStr">
        <is>
          <t>n =</t>
        </is>
      </c>
      <c r="E2" s="3">
        <f>COUNT(A2:A16)</f>
        <v/>
      </c>
    </row>
    <row r="3">
      <c r="A3" s="5" t="n">
        <v>5</v>
      </c>
      <c r="D3" s="6" t="inlineStr">
        <is>
          <t>Minimum</t>
        </is>
      </c>
      <c r="E3" s="3">
        <f>MIN(A2:A16)</f>
        <v/>
      </c>
    </row>
    <row r="4">
      <c r="A4" s="5" t="n">
        <v>8</v>
      </c>
      <c r="D4" s="6" t="inlineStr">
        <is>
          <t>Q1 = QUARTILE.EXC(range,1)  (the (n+1) method: position 4 of the sorted list)</t>
        </is>
      </c>
      <c r="E4" s="3">
        <f>_xlfn.QUARTILE.EXC(A2:A16,1)</f>
        <v/>
      </c>
    </row>
    <row r="5">
      <c r="A5" s="5" t="n">
        <v>15</v>
      </c>
      <c r="D5" s="6" t="inlineStr">
        <is>
          <t>Median (position 8)</t>
        </is>
      </c>
      <c r="E5" s="3">
        <f>MEDIAN(A2:A16)</f>
        <v/>
      </c>
    </row>
    <row r="6">
      <c r="A6" s="5" t="n">
        <v>30</v>
      </c>
      <c r="D6" s="6" t="inlineStr">
        <is>
          <t>Q3 = QUARTILE.EXC(range,3)  (position 12)</t>
        </is>
      </c>
      <c r="E6" s="3">
        <f>_xlfn.QUARTILE.EXC(A2:A16,3)</f>
        <v/>
      </c>
    </row>
    <row r="7">
      <c r="A7" s="5" t="n">
        <v>2</v>
      </c>
      <c r="D7" s="6" t="inlineStr">
        <is>
          <t>Maximum</t>
        </is>
      </c>
      <c r="E7" s="3">
        <f>MAX(A2:A16)</f>
        <v/>
      </c>
    </row>
    <row r="8">
      <c r="A8" s="5" t="n">
        <v>5</v>
      </c>
      <c r="D8" s="6" t="inlineStr">
        <is>
          <t>IQR = Q3 − Q1</t>
        </is>
      </c>
      <c r="E8" s="3">
        <f>E6-E4</f>
        <v/>
      </c>
    </row>
    <row r="9">
      <c r="A9" s="5" t="n">
        <v>10</v>
      </c>
      <c r="D9" s="6" t="inlineStr">
        <is>
          <t>Lower boundary = Q1 − 1.5·IQR</t>
        </is>
      </c>
      <c r="E9" s="3">
        <f>E4-1.5*E8</f>
        <v/>
      </c>
    </row>
    <row r="10">
      <c r="A10" s="5" t="n">
        <v>20</v>
      </c>
      <c r="D10" s="6" t="inlineStr">
        <is>
          <t>Upper boundary = Q3 + 1.5·IQR</t>
        </is>
      </c>
      <c r="E10" s="3">
        <f>E6+1.5*E8</f>
        <v/>
      </c>
    </row>
    <row r="11">
      <c r="A11" s="5" t="n">
        <v>45</v>
      </c>
      <c r="D11" s="6" t="inlineStr">
        <is>
          <t>Mean x̄</t>
        </is>
      </c>
      <c r="E11" s="3">
        <f>AVERAGE(A2:A16)</f>
        <v/>
      </c>
    </row>
    <row r="12">
      <c r="A12" s="5" t="n">
        <v>3</v>
      </c>
      <c r="D12" s="6" t="inlineStr">
        <is>
          <t>Sample standard deviation s = STDEV.S(range)</t>
        </is>
      </c>
      <c r="E12" s="3">
        <f>_xlfn.STDEV.S(A2:A16)</f>
        <v/>
      </c>
    </row>
    <row r="13">
      <c r="A13" s="5" t="n">
        <v>7</v>
      </c>
      <c r="D13" s="6" t="inlineStr">
        <is>
          <t>Pearson's coefficient sk = 3(x̄ − Median)/s</t>
        </is>
      </c>
      <c r="E13" s="3">
        <f>3*(E11-E5)/E12</f>
        <v/>
      </c>
    </row>
    <row r="14">
      <c r="A14" s="5" t="n">
        <v>12</v>
      </c>
      <c r="D14" s="6" t="inlineStr">
        <is>
          <t>Software method =SKEW</t>
        </is>
      </c>
      <c r="E14" s="3">
        <f>SKEW(A2:A16)</f>
        <v/>
      </c>
    </row>
    <row r="15">
      <c r="A15" s="5" t="n">
        <v>25</v>
      </c>
    </row>
    <row r="16">
      <c r="A16" s="5" t="n">
        <v>60</v>
      </c>
      <c r="D16" s="4" t="inlineStr">
        <is>
          <t>Note: 60 is above the upper boundary (55), so it is an outlier; the whisker of the box plot stops at 45.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Overtime hours (x)</t>
        </is>
      </c>
      <c r="B1" s="2" t="inlineStr">
        <is>
          <t>(x − x̄)/s</t>
        </is>
      </c>
      <c r="C1" s="2" t="inlineStr">
        <is>
          <t>((x − x̄)/s)^3</t>
        </is>
      </c>
    </row>
    <row r="2">
      <c r="A2" s="7" t="n">
        <v>0</v>
      </c>
      <c r="B2" s="3">
        <f>(A2-AVERAGE($A$2:$A$16))/_xlfn.STDEV.S($A$2:$A$16)</f>
        <v/>
      </c>
      <c r="C2" s="3">
        <f>B2^3</f>
        <v/>
      </c>
    </row>
    <row r="3">
      <c r="A3" s="7" t="n">
        <v>5</v>
      </c>
      <c r="B3" s="3">
        <f>(A3-AVERAGE($A$2:$A$16))/_xlfn.STDEV.S($A$2:$A$16)</f>
        <v/>
      </c>
      <c r="C3" s="3">
        <f>B3^3</f>
        <v/>
      </c>
    </row>
    <row r="4">
      <c r="A4" s="7" t="n">
        <v>8</v>
      </c>
      <c r="B4" s="3">
        <f>(A4-AVERAGE($A$2:$A$16))/_xlfn.STDEV.S($A$2:$A$16)</f>
        <v/>
      </c>
      <c r="C4" s="3">
        <f>B4^3</f>
        <v/>
      </c>
    </row>
    <row r="5">
      <c r="A5" s="7" t="n">
        <v>15</v>
      </c>
      <c r="B5" s="3">
        <f>(A5-AVERAGE($A$2:$A$16))/_xlfn.STDEV.S($A$2:$A$16)</f>
        <v/>
      </c>
      <c r="C5" s="3">
        <f>B5^3</f>
        <v/>
      </c>
    </row>
    <row r="6">
      <c r="A6" s="7" t="n">
        <v>30</v>
      </c>
      <c r="B6" s="3">
        <f>(A6-AVERAGE($A$2:$A$16))/_xlfn.STDEV.S($A$2:$A$16)</f>
        <v/>
      </c>
      <c r="C6" s="3">
        <f>B6^3</f>
        <v/>
      </c>
    </row>
    <row r="7">
      <c r="A7" s="7" t="n">
        <v>2</v>
      </c>
      <c r="B7" s="3">
        <f>(A7-AVERAGE($A$2:$A$16))/_xlfn.STDEV.S($A$2:$A$16)</f>
        <v/>
      </c>
      <c r="C7" s="3">
        <f>B7^3</f>
        <v/>
      </c>
    </row>
    <row r="8">
      <c r="A8" s="7" t="n">
        <v>5</v>
      </c>
      <c r="B8" s="3">
        <f>(A8-AVERAGE($A$2:$A$16))/_xlfn.STDEV.S($A$2:$A$16)</f>
        <v/>
      </c>
      <c r="C8" s="3">
        <f>B8^3</f>
        <v/>
      </c>
    </row>
    <row r="9">
      <c r="A9" s="7" t="n">
        <v>10</v>
      </c>
      <c r="B9" s="3">
        <f>(A9-AVERAGE($A$2:$A$16))/_xlfn.STDEV.S($A$2:$A$16)</f>
        <v/>
      </c>
      <c r="C9" s="3">
        <f>B9^3</f>
        <v/>
      </c>
    </row>
    <row r="10">
      <c r="A10" s="7" t="n">
        <v>20</v>
      </c>
      <c r="B10" s="3">
        <f>(A10-AVERAGE($A$2:$A$16))/_xlfn.STDEV.S($A$2:$A$16)</f>
        <v/>
      </c>
      <c r="C10" s="3">
        <f>B10^3</f>
        <v/>
      </c>
    </row>
    <row r="11">
      <c r="A11" s="7" t="n">
        <v>45</v>
      </c>
      <c r="B11" s="3">
        <f>(A11-AVERAGE($A$2:$A$16))/_xlfn.STDEV.S($A$2:$A$16)</f>
        <v/>
      </c>
      <c r="C11" s="3">
        <f>B11^3</f>
        <v/>
      </c>
    </row>
    <row r="12">
      <c r="A12" s="7" t="n">
        <v>3</v>
      </c>
      <c r="B12" s="3">
        <f>(A12-AVERAGE($A$2:$A$16))/_xlfn.STDEV.S($A$2:$A$16)</f>
        <v/>
      </c>
      <c r="C12" s="3">
        <f>B12^3</f>
        <v/>
      </c>
    </row>
    <row r="13">
      <c r="A13" s="7" t="n">
        <v>7</v>
      </c>
      <c r="B13" s="3">
        <f>(A13-AVERAGE($A$2:$A$16))/_xlfn.STDEV.S($A$2:$A$16)</f>
        <v/>
      </c>
      <c r="C13" s="3">
        <f>B13^3</f>
        <v/>
      </c>
    </row>
    <row r="14">
      <c r="A14" s="7" t="n">
        <v>12</v>
      </c>
      <c r="B14" s="3">
        <f>(A14-AVERAGE($A$2:$A$16))/_xlfn.STDEV.S($A$2:$A$16)</f>
        <v/>
      </c>
      <c r="C14" s="3">
        <f>B14^3</f>
        <v/>
      </c>
    </row>
    <row r="15">
      <c r="A15" s="7" t="n">
        <v>25</v>
      </c>
      <c r="B15" s="3">
        <f>(A15-AVERAGE($A$2:$A$16))/_xlfn.STDEV.S($A$2:$A$16)</f>
        <v/>
      </c>
      <c r="C15" s="3">
        <f>B15^3</f>
        <v/>
      </c>
    </row>
    <row r="16">
      <c r="A16" s="7" t="n">
        <v>60</v>
      </c>
      <c r="B16" s="3">
        <f>(A16-AVERAGE($A$2:$A$16))/_xlfn.STDEV.S($A$2:$A$16)</f>
        <v/>
      </c>
      <c r="C16" s="3">
        <f>B16^3</f>
        <v/>
      </c>
    </row>
    <row r="17">
      <c r="A17" s="3" t="n"/>
      <c r="B17" s="3" t="n"/>
      <c r="C17" s="3" t="n"/>
    </row>
    <row r="18">
      <c r="A18" s="6" t="inlineStr">
        <is>
          <t>Sum of the cubes</t>
        </is>
      </c>
      <c r="B18" s="3" t="n"/>
      <c r="C18" s="3">
        <f>SUM(C2:C16)</f>
        <v/>
      </c>
    </row>
    <row r="19">
      <c r="A19" s="6" t="inlineStr">
        <is>
          <t>n</t>
        </is>
      </c>
      <c r="B19" s="3" t="n"/>
      <c r="C19" s="3">
        <f>COUNT(A2:A16)</f>
        <v/>
      </c>
    </row>
    <row r="20">
      <c r="A20" s="6" t="inlineStr">
        <is>
          <t>sk = n/((n−1)(n−2)) × sum</t>
        </is>
      </c>
      <c r="B20" s="3" t="n"/>
      <c r="C20" s="3">
        <f>C19/((C19-1)*(C19-2))*C18</f>
        <v/>
      </c>
    </row>
    <row r="21">
      <c r="A21" s="6" t="inlineStr">
        <is>
          <t>Check with the built-in function =SKEW</t>
        </is>
      </c>
      <c r="B21" s="3" t="n"/>
      <c r="C21" s="3">
        <f>SKEW(A2:A16)</f>
        <v/>
      </c>
    </row>
    <row r="22">
      <c r="A22" s="3" t="n"/>
      <c r="B22" s="3" t="n"/>
      <c r="C22" s="3" t="n"/>
    </row>
    <row r="23">
      <c r="A23" s="4" t="inlineStr">
        <is>
          <t>Note: cubing keeps the sign, so large values above the mean push the sum up (positive skew).</t>
        </is>
      </c>
      <c r="B23" s="3" t="n"/>
      <c r="C2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s="2" t="inlineStr">
        <is>
          <t>Quarter</t>
        </is>
      </c>
      <c r="B1" s="2" t="inlineStr">
        <is>
          <t>Riyadh sales ('000 riyals)</t>
        </is>
      </c>
      <c r="C1" s="2" t="inlineStr">
        <is>
          <t>Jeddah sales ('000 riyals)</t>
        </is>
      </c>
    </row>
    <row r="2">
      <c r="A2" s="3" t="n">
        <v>1</v>
      </c>
      <c r="B2" s="7" t="n">
        <v>130</v>
      </c>
      <c r="C2" s="7" t="n">
        <v>105</v>
      </c>
    </row>
    <row r="3">
      <c r="A3" s="3" t="n">
        <v>2</v>
      </c>
      <c r="B3" s="7" t="n">
        <v>145</v>
      </c>
      <c r="C3" s="7" t="n">
        <v>120</v>
      </c>
    </row>
    <row r="4">
      <c r="A4" s="3" t="n">
        <v>3</v>
      </c>
      <c r="B4" s="7" t="n">
        <v>118</v>
      </c>
      <c r="C4" s="7" t="n">
        <v>80</v>
      </c>
    </row>
    <row r="5">
      <c r="A5" s="3" t="n">
        <v>4</v>
      </c>
      <c r="B5" s="7" t="n">
        <v>160</v>
      </c>
      <c r="C5" s="7" t="n">
        <v>145</v>
      </c>
    </row>
    <row r="6">
      <c r="A6" s="3" t="n">
        <v>5</v>
      </c>
      <c r="B6" s="7" t="n">
        <v>136</v>
      </c>
      <c r="C6" s="7" t="n">
        <v>112</v>
      </c>
    </row>
    <row r="7">
      <c r="A7" s="3" t="n">
        <v>6</v>
      </c>
      <c r="B7" s="7" t="n">
        <v>110</v>
      </c>
      <c r="C7" s="7" t="n">
        <v>60</v>
      </c>
    </row>
    <row r="8">
      <c r="A8" s="3" t="n">
        <v>7</v>
      </c>
      <c r="B8" s="7" t="n">
        <v>152</v>
      </c>
      <c r="C8" s="7" t="n">
        <v>132</v>
      </c>
    </row>
    <row r="9">
      <c r="A9" s="3" t="n">
        <v>8</v>
      </c>
      <c r="B9" s="7" t="n">
        <v>125</v>
      </c>
      <c r="C9" s="7" t="n">
        <v>100</v>
      </c>
    </row>
    <row r="10">
      <c r="A10" s="3" t="n">
        <v>9</v>
      </c>
      <c r="B10" s="7" t="n">
        <v>165</v>
      </c>
      <c r="C10" s="7" t="n">
        <v>152</v>
      </c>
    </row>
    <row r="11">
      <c r="A11" s="3" t="n">
        <v>10</v>
      </c>
      <c r="B11" s="7" t="n">
        <v>140</v>
      </c>
      <c r="C11" s="7" t="n">
        <v>116</v>
      </c>
    </row>
    <row r="12">
      <c r="A12" s="3" t="n">
        <v>11</v>
      </c>
      <c r="B12" s="7" t="n">
        <v>175</v>
      </c>
      <c r="C12" s="7" t="n">
        <v>170</v>
      </c>
    </row>
    <row r="13">
      <c r="A13" s="3" t="n">
        <v>12</v>
      </c>
      <c r="B13" s="7" t="n">
        <v>122</v>
      </c>
      <c r="C13" s="7" t="n">
        <v>92</v>
      </c>
    </row>
    <row r="14">
      <c r="A14" s="3" t="n">
        <v>13</v>
      </c>
      <c r="B14" s="7" t="n">
        <v>156</v>
      </c>
      <c r="C14" s="7" t="n">
        <v>140</v>
      </c>
    </row>
    <row r="15">
      <c r="A15" s="3" t="n">
        <v>14</v>
      </c>
      <c r="B15" s="7" t="n">
        <v>148</v>
      </c>
      <c r="C15" s="7" t="n">
        <v>126</v>
      </c>
    </row>
    <row r="16">
      <c r="A16" s="3" t="n">
        <v>15</v>
      </c>
      <c r="B16" s="7" t="n">
        <v>170</v>
      </c>
      <c r="C16" s="7" t="n">
        <v>160</v>
      </c>
    </row>
    <row r="17">
      <c r="A17" s="3" t="n"/>
      <c r="B17" s="3" t="n"/>
      <c r="C17" s="3" t="n"/>
    </row>
    <row r="18">
      <c r="A18" s="6" t="inlineStr">
        <is>
          <t>Minimum</t>
        </is>
      </c>
      <c r="B18" s="3">
        <f>MIN(B2:B16)</f>
        <v/>
      </c>
      <c r="C18" s="3">
        <f>MIN(C2:C16)</f>
        <v/>
      </c>
    </row>
    <row r="19">
      <c r="A19" s="6" t="inlineStr">
        <is>
          <t>Q1 = QUARTILE.EXC(range,1)</t>
        </is>
      </c>
      <c r="B19" s="3">
        <f>_xlfn.QUARTILE.EXC(B2:B16,1)</f>
        <v/>
      </c>
      <c r="C19" s="3">
        <f>_xlfn.QUARTILE.EXC(C2:C16,1)</f>
        <v/>
      </c>
    </row>
    <row r="20">
      <c r="A20" s="6" t="inlineStr">
        <is>
          <t>Median</t>
        </is>
      </c>
      <c r="B20" s="3">
        <f>MEDIAN(B2:B16)</f>
        <v/>
      </c>
      <c r="C20" s="3">
        <f>MEDIAN(C2:C16)</f>
        <v/>
      </c>
    </row>
    <row r="21">
      <c r="A21" s="6" t="inlineStr">
        <is>
          <t>Q3 = QUARTILE.EXC(range,3)</t>
        </is>
      </c>
      <c r="B21" s="3">
        <f>_xlfn.QUARTILE.EXC(B2:B16,3)</f>
        <v/>
      </c>
      <c r="C21" s="3">
        <f>_xlfn.QUARTILE.EXC(C2:C16,3)</f>
        <v/>
      </c>
    </row>
    <row r="22">
      <c r="A22" s="6" t="inlineStr">
        <is>
          <t>Maximum</t>
        </is>
      </c>
      <c r="B22" s="3">
        <f>MAX(B2:B16)</f>
        <v/>
      </c>
      <c r="C22" s="3">
        <f>MAX(C2:C16)</f>
        <v/>
      </c>
    </row>
    <row r="23">
      <c r="A23" s="6" t="inlineStr">
        <is>
          <t>IQR = Q3 − Q1</t>
        </is>
      </c>
      <c r="B23" s="3">
        <f>B21-B19</f>
        <v/>
      </c>
      <c r="C23" s="3">
        <f>C21-C19</f>
        <v/>
      </c>
    </row>
    <row r="24">
      <c r="A24" s="3" t="n"/>
      <c r="B24" s="3" t="n"/>
      <c r="C24" s="3" t="n"/>
    </row>
    <row r="25">
      <c r="A25" s="4" t="inlineStr">
        <is>
          <t>Note: with n = 15 quarters, the .EXC quartiles sit at positions 4, 8 and 12 of the sorted list.</t>
        </is>
      </c>
      <c r="B25" s="3" t="n"/>
      <c r="C2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4" customWidth="1" min="4" max="4"/>
    <col width="18" customWidth="1" min="5" max="5"/>
  </cols>
  <sheetData>
    <row r="1">
      <c r="A1" s="2" t="inlineStr">
        <is>
          <t>Day</t>
        </is>
      </c>
      <c r="B1" s="2" t="inlineStr">
        <is>
          <t>Temperature (°C)</t>
        </is>
      </c>
      <c r="C1" s="2" t="inlineStr">
        <is>
          <t>Sales (riyals)</t>
        </is>
      </c>
      <c r="D1" s="2" t="inlineStr"/>
      <c r="E1" s="2" t="inlineStr">
        <is>
          <t>(x − x̄)(y − ȳ)</t>
        </is>
      </c>
    </row>
    <row r="2">
      <c r="A2" s="3" t="n">
        <v>1</v>
      </c>
      <c r="B2" s="7" t="n">
        <v>28</v>
      </c>
      <c r="C2" s="7" t="n">
        <v>1300</v>
      </c>
      <c r="D2" s="3" t="n"/>
      <c r="E2" s="3">
        <f>(B2-AVERAGE($B$2:$B$11))*(C2-AVERAGE($C$2:$C$11))</f>
        <v/>
      </c>
    </row>
    <row r="3">
      <c r="A3" s="3" t="n">
        <v>2</v>
      </c>
      <c r="B3" s="7" t="n">
        <v>30</v>
      </c>
      <c r="C3" s="7" t="n">
        <v>1200</v>
      </c>
      <c r="D3" s="3" t="n"/>
      <c r="E3" s="3">
        <f>(B3-AVERAGE($B$2:$B$11))*(C3-AVERAGE($C$2:$C$11))</f>
        <v/>
      </c>
    </row>
    <row r="4">
      <c r="A4" s="3" t="n">
        <v>3</v>
      </c>
      <c r="B4" s="7" t="n">
        <v>32</v>
      </c>
      <c r="C4" s="7" t="n">
        <v>1650</v>
      </c>
      <c r="D4" s="3" t="n"/>
      <c r="E4" s="3">
        <f>(B4-AVERAGE($B$2:$B$11))*(C4-AVERAGE($C$2:$C$11))</f>
        <v/>
      </c>
    </row>
    <row r="5">
      <c r="A5" s="3" t="n">
        <v>4</v>
      </c>
      <c r="B5" s="7" t="n">
        <v>35</v>
      </c>
      <c r="C5" s="7" t="n">
        <v>1500</v>
      </c>
      <c r="D5" s="3" t="n"/>
      <c r="E5" s="3">
        <f>(B5-AVERAGE($B$2:$B$11))*(C5-AVERAGE($C$2:$C$11))</f>
        <v/>
      </c>
    </row>
    <row r="6">
      <c r="A6" s="3" t="n">
        <v>5</v>
      </c>
      <c r="B6" s="7" t="n">
        <v>38</v>
      </c>
      <c r="C6" s="7" t="n">
        <v>2300</v>
      </c>
      <c r="D6" s="3" t="n"/>
      <c r="E6" s="3">
        <f>(B6-AVERAGE($B$2:$B$11))*(C6-AVERAGE($C$2:$C$11))</f>
        <v/>
      </c>
    </row>
    <row r="7">
      <c r="A7" s="3" t="n">
        <v>6</v>
      </c>
      <c r="B7" s="7" t="n">
        <v>29</v>
      </c>
      <c r="C7" s="7" t="n">
        <v>1400</v>
      </c>
      <c r="D7" s="3" t="n"/>
      <c r="E7" s="3">
        <f>(B7-AVERAGE($B$2:$B$11))*(C7-AVERAGE($C$2:$C$11))</f>
        <v/>
      </c>
    </row>
    <row r="8">
      <c r="A8" s="3" t="n">
        <v>7</v>
      </c>
      <c r="B8" s="7" t="n">
        <v>31</v>
      </c>
      <c r="C8" s="7" t="n">
        <v>1450</v>
      </c>
      <c r="D8" s="3" t="n"/>
      <c r="E8" s="3">
        <f>(B8-AVERAGE($B$2:$B$11))*(C8-AVERAGE($C$2:$C$11))</f>
        <v/>
      </c>
    </row>
    <row r="9">
      <c r="A9" s="3" t="n">
        <v>8</v>
      </c>
      <c r="B9" s="7" t="n">
        <v>36</v>
      </c>
      <c r="C9" s="7" t="n">
        <v>2100</v>
      </c>
      <c r="D9" s="3" t="n"/>
      <c r="E9" s="3">
        <f>(B9-AVERAGE($B$2:$B$11))*(C9-AVERAGE($C$2:$C$11))</f>
        <v/>
      </c>
    </row>
    <row r="10">
      <c r="A10" s="3" t="n">
        <v>9</v>
      </c>
      <c r="B10" s="7" t="n">
        <v>39</v>
      </c>
      <c r="C10" s="7" t="n">
        <v>2000</v>
      </c>
      <c r="D10" s="3" t="n"/>
      <c r="E10" s="3">
        <f>(B10-AVERAGE($B$2:$B$11))*(C10-AVERAGE($C$2:$C$11))</f>
        <v/>
      </c>
    </row>
    <row r="11">
      <c r="A11" s="3" t="n">
        <v>10</v>
      </c>
      <c r="B11" s="7" t="n">
        <v>34</v>
      </c>
      <c r="C11" s="7" t="n">
        <v>1800</v>
      </c>
      <c r="D11" s="3" t="n"/>
      <c r="E11" s="3">
        <f>(B11-AVERAGE($B$2:$B$11))*(C11-AVERAGE($C$2:$C$11))</f>
        <v/>
      </c>
    </row>
    <row r="12">
      <c r="A12" s="3" t="n"/>
      <c r="B12" s="3" t="n"/>
      <c r="C12" s="3" t="n"/>
      <c r="D12" s="3" t="n"/>
      <c r="E12" s="3" t="n"/>
    </row>
    <row r="13">
      <c r="A13" s="6" t="inlineStr">
        <is>
          <t>Mean temperature x̄</t>
        </is>
      </c>
      <c r="B13" s="3" t="n"/>
      <c r="C13" s="3" t="n"/>
      <c r="D13" s="3" t="n"/>
      <c r="E13" s="3">
        <f>AVERAGE(B2:B11)</f>
        <v/>
      </c>
    </row>
    <row r="14">
      <c r="A14" s="6" t="inlineStr">
        <is>
          <t>Mean sales ȳ</t>
        </is>
      </c>
      <c r="B14" s="3" t="n"/>
      <c r="C14" s="3" t="n"/>
      <c r="D14" s="3" t="n"/>
      <c r="E14" s="3">
        <f>AVERAGE(C2:C11)</f>
        <v/>
      </c>
    </row>
    <row r="15">
      <c r="A15" s="6" t="inlineStr">
        <is>
          <t>s_x = STDEV.S(x_range)</t>
        </is>
      </c>
      <c r="B15" s="3" t="n"/>
      <c r="C15" s="3" t="n"/>
      <c r="D15" s="3" t="n"/>
      <c r="E15" s="3">
        <f>_xlfn.STDEV.S(B2:B11)</f>
        <v/>
      </c>
    </row>
    <row r="16">
      <c r="A16" s="6" t="inlineStr">
        <is>
          <t>s_y = STDEV.S(y_range)</t>
        </is>
      </c>
      <c r="B16" s="3" t="n"/>
      <c r="C16" s="3" t="n"/>
      <c r="D16" s="3" t="n"/>
      <c r="E16" s="3">
        <f>_xlfn.STDEV.S(C2:C11)</f>
        <v/>
      </c>
    </row>
    <row r="17">
      <c r="A17" s="6" t="inlineStr">
        <is>
          <t>Sum of the products Σ(x − x̄)(y − ȳ)</t>
        </is>
      </c>
      <c r="B17" s="3" t="n"/>
      <c r="C17" s="3" t="n"/>
      <c r="D17" s="3" t="n"/>
      <c r="E17" s="3">
        <f>SUM(E2:E11)</f>
        <v/>
      </c>
    </row>
    <row r="18">
      <c r="A18" s="6" t="inlineStr">
        <is>
          <t>r from the formula = Σ / ((n−1)·s_x·s_y)</t>
        </is>
      </c>
      <c r="B18" s="3" t="n"/>
      <c r="C18" s="3" t="n"/>
      <c r="D18" s="3" t="n"/>
      <c r="E18" s="3">
        <f>E17/((COUNT(B2:B11)-1)*E15*E16)</f>
        <v/>
      </c>
    </row>
    <row r="19">
      <c r="A19" s="6" t="inlineStr">
        <is>
          <t>r with the built-in function =CORREL</t>
        </is>
      </c>
      <c r="B19" s="3" t="n"/>
      <c r="C19" s="3" t="n"/>
      <c r="D19" s="3" t="n"/>
      <c r="E19" s="3">
        <f>CORREL(B2:B11,C2:C11)</f>
        <v/>
      </c>
    </row>
    <row r="20">
      <c r="A20" s="3" t="n"/>
      <c r="B20" s="3" t="n"/>
      <c r="C20" s="3" t="n"/>
      <c r="D20" s="3" t="n"/>
      <c r="E20" s="3" t="n"/>
    </row>
    <row r="21">
      <c r="A21" s="4" t="inlineStr">
        <is>
          <t>Note: r = 0.877, a strong positive relationship: hotter days bring higher sales.</t>
        </is>
      </c>
      <c r="B21" s="3" t="n"/>
      <c r="C21" s="3" t="n"/>
      <c r="D21" s="3" t="n"/>
      <c r="E2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Training status</t>
        </is>
      </c>
      <c r="B1" s="2" t="inlineStr">
        <is>
          <t>Marketing</t>
        </is>
      </c>
      <c r="C1" s="2" t="inlineStr">
        <is>
          <t>Sales</t>
        </is>
      </c>
      <c r="D1" s="2" t="inlineStr">
        <is>
          <t>Operations</t>
        </is>
      </c>
      <c r="E1" s="2" t="inlineStr">
        <is>
          <t>IT</t>
        </is>
      </c>
      <c r="F1" s="2" t="inlineStr">
        <is>
          <t>Total</t>
        </is>
      </c>
    </row>
    <row r="2">
      <c r="A2" s="3" t="inlineStr">
        <is>
          <t>Completed</t>
        </is>
      </c>
      <c r="B2" s="7" t="n">
        <v>30</v>
      </c>
      <c r="C2" s="7" t="n">
        <v>63</v>
      </c>
      <c r="D2" s="7" t="n">
        <v>32</v>
      </c>
      <c r="E2" s="7" t="n">
        <v>36</v>
      </c>
      <c r="F2" s="6">
        <f>SUM(B2:E2)</f>
        <v/>
      </c>
    </row>
    <row r="3">
      <c r="A3" s="3" t="inlineStr">
        <is>
          <t>Not completed</t>
        </is>
      </c>
      <c r="B3" s="7" t="n">
        <v>20</v>
      </c>
      <c r="C3" s="7" t="n">
        <v>27</v>
      </c>
      <c r="D3" s="7" t="n">
        <v>8</v>
      </c>
      <c r="E3" s="7" t="n">
        <v>4</v>
      </c>
      <c r="F3" s="6">
        <f>SUM(B3:E3)</f>
        <v/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6">
        <f>SUM(E2:E3)</f>
        <v/>
      </c>
      <c r="F4" s="6">
        <f>SUM(F2:F3)</f>
        <v/>
      </c>
    </row>
    <row r="5">
      <c r="A5" s="3" t="n"/>
      <c r="B5" s="3" t="n"/>
      <c r="C5" s="3" t="n"/>
      <c r="D5" s="3" t="n"/>
      <c r="E5" s="3" t="n"/>
      <c r="F5" s="3" t="n"/>
    </row>
    <row r="6">
      <c r="A6" s="6" t="inlineStr">
        <is>
          <t>Completion rate inside each department (column %)</t>
        </is>
      </c>
      <c r="B6" s="8">
        <f>B2/B4</f>
        <v/>
      </c>
      <c r="C6" s="8">
        <f>C2/C4</f>
        <v/>
      </c>
      <c r="D6" s="8">
        <f>D2/D4</f>
        <v/>
      </c>
      <c r="E6" s="8">
        <f>E2/E4</f>
        <v/>
      </c>
      <c r="F6" s="3" t="n"/>
    </row>
    <row r="7">
      <c r="A7" s="6" t="inlineStr">
        <is>
          <t>Share of all completed trainings (row %)</t>
        </is>
      </c>
      <c r="B7" s="8">
        <f>B2/$F$2</f>
        <v/>
      </c>
      <c r="C7" s="8">
        <f>C2/$F$2</f>
        <v/>
      </c>
      <c r="D7" s="8">
        <f>D2/$F$2</f>
        <v/>
      </c>
      <c r="E7" s="8">
        <f>E2/$F$2</f>
        <v/>
      </c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4" t="inlineStr">
        <is>
          <t>Note: by counts Sales looks best (63 completed); by rates IT is best (90%) and Sales is second to last (70%). Percentages make the comparison fair.</t>
        </is>
      </c>
      <c r="B9" s="3" t="n"/>
      <c r="C9" s="3" t="n"/>
      <c r="D9" s="3" t="n"/>
      <c r="E9" s="3" t="n"/>
      <c r="F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2026-08-22T14:57:26Z</dcterms:created>
  <dcterms:modified xmlns:dcterms="http://purl.org/dc/terms/" xmlns:xsi="http://www.w3.org/2001/XMLSchema-instance" xsi:type="dcterms:W3CDTF">2026-08-22T14:57:26Z</dcterms:modified>
</cp:coreProperties>
</file>