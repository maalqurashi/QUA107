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iform" sheetId="2" state="visible" r:id="rId2"/>
    <sheet xmlns:r="http://schemas.openxmlformats.org/officeDocument/2006/relationships" name="Exponential" sheetId="3" state="visible" r:id="rId3"/>
    <sheet xmlns:r="http://schemas.openxmlformats.org/officeDocument/2006/relationships" name="Normal" sheetId="4" state="visible" r:id="rId4"/>
    <sheet xmlns:r="http://schemas.openxmlformats.org/officeDocument/2006/relationships" name="Z Table" sheetId="5" state="visible" r:id="rId5"/>
    <sheet xmlns:r="http://schemas.openxmlformats.org/officeDocument/2006/relationships" name="Normal Calculat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0B5F86"/>
      <sz val="13"/>
    </font>
    <font>
      <name val="Arial"/>
      <b val="1"/>
      <color rgb="00FFFFFF"/>
    </font>
    <font>
      <name val="Arial"/>
    </font>
    <font>
      <name val="Arial"/>
      <i val="1"/>
      <color rgb="00748995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08DC3"/>
      </patternFill>
    </fill>
    <fill>
      <patternFill patternType="solid">
        <fgColor rgb="00FFF3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0" pivotButton="0" quotePrefix="0" xfId="0"/>
    <xf numFmtId="164" fontId="3" fillId="0" borderId="0" pivotButton="0" quotePrefix="0" xfId="0"/>
    <xf numFmtId="2" fontId="2" fillId="2" borderId="0" applyAlignment="1" pivotButton="0" quotePrefix="0" xfId="0">
      <alignment horizontal="center"/>
    </xf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20" customWidth="1" min="3" max="3"/>
  </cols>
  <sheetData>
    <row r="1">
      <c r="A1" s="1" t="inlineStr">
        <is>
          <t>QUA 107 · Chapter 7 · Continuous Probability Distributions · data workbook</t>
        </is>
      </c>
    </row>
    <row r="2">
      <c r="A2" t="inlineStr"/>
    </row>
    <row r="3">
      <c r="A3" s="2" t="inlineStr">
        <is>
          <t>Sheet</t>
        </is>
      </c>
      <c r="B3" s="2" t="inlineStr">
        <is>
          <t>Contents</t>
        </is>
      </c>
      <c r="C3" s="2" t="inlineStr">
        <is>
          <t>Used on slides</t>
        </is>
      </c>
    </row>
    <row r="4">
      <c r="A4" s="3" t="inlineStr">
        <is>
          <t>Uniform</t>
        </is>
      </c>
      <c r="B4" s="3" t="inlineStr">
        <is>
          <t>The KSU shuttle waiting time: the CDF, base times height probabilities, the mean, the sd and the inverse</t>
        </is>
      </c>
      <c r="C4" s="3" t="inlineStr">
        <is>
          <t>Slides 8 to 13</t>
        </is>
      </c>
    </row>
    <row r="5">
      <c r="A5" s="3" t="inlineStr">
        <is>
          <t>Exponential</t>
        </is>
      </c>
      <c r="B5" s="3" t="inlineStr">
        <is>
          <t>The Riyad Bank tellers: EXPON.DIST exact areas and tails, plus the warranty inverse problem with LN</t>
        </is>
      </c>
      <c r="C5" s="3" t="inlineStr">
        <is>
          <t>Slides 16 to 21</t>
        </is>
      </c>
    </row>
    <row r="6">
      <c r="A6" s="3" t="inlineStr">
        <is>
          <t>Normal</t>
        </is>
      </c>
      <c r="B6" s="3" t="inlineStr">
        <is>
          <t>The Jahez deliveries: STANDARDIZE, NORM.DIST, NORM.S.DIST and the NORM.INV guarantee, all live</t>
        </is>
      </c>
      <c r="C6" s="3" t="inlineStr">
        <is>
          <t>Slides 30 to 35</t>
        </is>
      </c>
    </row>
    <row r="7">
      <c r="A7" s="3" t="inlineStr">
        <is>
          <t>Z Table</t>
        </is>
      </c>
      <c r="B7" s="3" t="inlineStr">
        <is>
          <t>The full cumulative Z table, built live from NORM.S.DIST: the printed table on slide 29, computed</t>
        </is>
      </c>
      <c r="C7" s="3" t="inlineStr">
        <is>
          <t>Slide 29</t>
        </is>
      </c>
    </row>
    <row r="8">
      <c r="A8" s="3" t="inlineStr">
        <is>
          <t>Normal Calculator</t>
        </is>
      </c>
      <c r="B8" s="3" t="inlineStr">
        <is>
          <t>A blank z-score and normal-probability calculator: type your own mu, sigma and cuts</t>
        </is>
      </c>
      <c r="C8" s="3" t="inlineStr">
        <is>
          <t>Your own problems</t>
        </is>
      </c>
    </row>
    <row r="9">
      <c r="A9" t="inlineStr"/>
    </row>
    <row r="10">
      <c r="A10" s="4" t="inlineStr">
        <is>
          <t>Yellow cells are data you may change; the formulas recalculate.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2" customWidth="1" min="3" max="3"/>
    <col width="14" customWidth="1" min="4" max="4"/>
  </cols>
  <sheetData>
    <row r="1">
      <c r="A1" s="1" t="inlineStr">
        <is>
          <t>The KSU shuttle: waiting time, uniform between a and b</t>
        </is>
      </c>
    </row>
    <row r="3">
      <c r="A3" s="5" t="inlineStr">
        <is>
          <t>a</t>
        </is>
      </c>
      <c r="B3" s="6" t="n">
        <v>0</v>
      </c>
      <c r="C3" s="4" t="inlineStr">
        <is>
          <t>The minimum value (the shuttle is just arriving).</t>
        </is>
      </c>
    </row>
    <row r="4">
      <c r="A4" s="5" t="inlineStr">
        <is>
          <t>b</t>
        </is>
      </c>
      <c r="B4" s="6" t="n">
        <v>20</v>
      </c>
      <c r="C4" s="4" t="inlineStr">
        <is>
          <t>The maximum value (it just left).</t>
        </is>
      </c>
    </row>
    <row r="5">
      <c r="A5" s="5" t="inlineStr">
        <is>
          <t>x1</t>
        </is>
      </c>
      <c r="B5" s="6" t="n">
        <v>0</v>
      </c>
      <c r="C5" s="4" t="inlineStr">
        <is>
          <t>The lower end of the interval you ask about.</t>
        </is>
      </c>
    </row>
    <row r="6">
      <c r="A6" s="5" t="inlineStr">
        <is>
          <t>x2</t>
        </is>
      </c>
      <c r="B6" s="6" t="n">
        <v>5</v>
      </c>
      <c r="C6" s="4" t="inlineStr">
        <is>
          <t>The upper end of the interval you ask about.</t>
        </is>
      </c>
    </row>
    <row r="7">
      <c r="A7" s="5" t="inlineStr">
        <is>
          <t>p</t>
        </is>
      </c>
      <c r="B7" s="6" t="n">
        <v>0.9</v>
      </c>
      <c r="C7" s="4" t="inlineStr">
        <is>
          <t>A known left area, for the inverse problem.</t>
        </is>
      </c>
    </row>
    <row r="9">
      <c r="A9" s="5" t="inlineStr">
        <is>
          <t>Height of the rectangle  1/(b-a)</t>
        </is>
      </c>
      <c r="D9" s="7">
        <f>1/(B4-B3)</f>
        <v/>
      </c>
    </row>
    <row r="10">
      <c r="A10" s="5" t="inlineStr">
        <is>
          <t>CDF  F(x2) = P(X &lt;= x2) = (x2-a)*height</t>
        </is>
      </c>
      <c r="D10" s="7">
        <f>(B6-B3)*(1/(B4-B3))</f>
        <v/>
      </c>
    </row>
    <row r="11">
      <c r="A11" s="5" t="inlineStr">
        <is>
          <t>P(x1 &lt;= X &lt;= x2) = F(x2) - F(x1)   subtract two areas</t>
        </is>
      </c>
      <c r="D11" s="7">
        <f>(B6-B3)*(1/(B4-B3))-(B5-B3)*(1/(B4-B3))</f>
        <v/>
      </c>
    </row>
    <row r="12">
      <c r="A12" s="5" t="inlineStr">
        <is>
          <t>Mean  mu = (a+b)/2</t>
        </is>
      </c>
      <c r="D12" s="7">
        <f>(B3+B4)/2</f>
        <v/>
      </c>
    </row>
    <row r="13">
      <c r="A13" s="5" t="inlineStr">
        <is>
          <t>Standard deviation  sigma = SQRT((b-a)^2/12)</t>
        </is>
      </c>
      <c r="D13" s="7">
        <f>SQRT((B4-B3)^2/12)</f>
        <v/>
      </c>
    </row>
    <row r="14">
      <c r="A14" s="5" t="inlineStr">
        <is>
          <t>Inverse: the x with area p to its left  x = a + p*(b-a)</t>
        </is>
      </c>
      <c r="D14" s="7">
        <f>B3+B7*(B4-B3)</f>
        <v/>
      </c>
    </row>
    <row r="16">
      <c r="A16" s="4" t="inlineStr">
        <is>
          <t>Excel has no UNIFORM.DIST function and needs none: a uniform probability is plain area arithmetic.</t>
        </is>
      </c>
    </row>
    <row r="18">
      <c r="A18" s="4" t="inlineStr">
        <is>
          <t>The advertising check: x1 = 0, x2 = 5 gives 0.25, so the claim (most students wait less than 5 minutes)</t>
        </is>
      </c>
    </row>
    <row r="19">
      <c r="A19" s="4" t="inlineStr">
        <is>
          <t>is false. The honest numbers: the mean wait of 10 minutes, or the inverse cut (90% wait less than 18).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56" customWidth="1" min="3" max="3"/>
    <col width="14" customWidth="1" min="4" max="4"/>
  </cols>
  <sheetData>
    <row r="1">
      <c r="A1" s="1" t="inlineStr">
        <is>
          <t>Riyad Bank tellers: time until the next customer (exponential)</t>
        </is>
      </c>
    </row>
    <row r="3">
      <c r="A3" s="5" t="inlineStr">
        <is>
          <t>lambda</t>
        </is>
      </c>
      <c r="B3" s="6" t="n">
        <v>3</v>
      </c>
      <c r="C3" s="4" t="inlineStr">
        <is>
          <t>The average number of events per unit of time (3 customers per minute).</t>
        </is>
      </c>
    </row>
    <row r="4">
      <c r="A4" s="5" t="inlineStr">
        <is>
          <t>x</t>
        </is>
      </c>
      <c r="B4" s="6" t="n">
        <v>2</v>
      </c>
      <c r="C4" s="4" t="inlineStr">
        <is>
          <t>The time we ask about (the 2-minute administrative task).</t>
        </is>
      </c>
    </row>
    <row r="6">
      <c r="A6" s="5" t="inlineStr">
        <is>
          <t>P(X &lt;= x)   the area up to x, cumulative TRUE</t>
        </is>
      </c>
      <c r="D6" s="7">
        <f>_xlfn.EXPON.DIST(B4,B3,TRUE)</f>
        <v/>
      </c>
    </row>
    <row r="7">
      <c r="A7" s="5" t="inlineStr">
        <is>
          <t>P(X &gt; x) = 1 - P(X &lt;= x)   the quiet-gap tail</t>
        </is>
      </c>
      <c r="D7" s="7">
        <f>1-_xlfn.EXPON.DIST(B4,B3,TRUE)</f>
        <v/>
      </c>
    </row>
    <row r="8">
      <c r="A8" s="5" t="inlineStr">
        <is>
          <t>The same by hand: 1 - EXP(-lambda*x)</t>
        </is>
      </c>
      <c r="D8" s="7">
        <f>1-EXP(-B3*B4)</f>
        <v/>
      </c>
    </row>
    <row r="9">
      <c r="A9" s="5" t="inlineStr">
        <is>
          <t>Density at x  (FALSE: the curve height, not a probability)</t>
        </is>
      </c>
      <c r="D9" s="7">
        <f>_xlfn.EXPON.DIST(B4,B3,FALSE)</f>
        <v/>
      </c>
    </row>
    <row r="10">
      <c r="A10" s="5" t="inlineStr">
        <is>
          <t>Mean  mu = 1/lambda</t>
        </is>
      </c>
      <c r="D10" s="7">
        <f>1/B3</f>
        <v/>
      </c>
    </row>
    <row r="11">
      <c r="A11" s="5" t="inlineStr">
        <is>
          <t>Standard deviation  sigma = 1/lambda</t>
        </is>
      </c>
      <c r="D11" s="7">
        <f>1/B3</f>
        <v/>
      </c>
    </row>
    <row r="14">
      <c r="A14" s="5" t="inlineStr">
        <is>
          <t>The inverse problem: the coffee-machine warranty</t>
        </is>
      </c>
    </row>
    <row r="15">
      <c r="A15" s="5" t="inlineStr">
        <is>
          <t>mean life</t>
        </is>
      </c>
      <c r="B15" s="6" t="n">
        <v>4</v>
      </c>
      <c r="C15" s="4" t="inlineStr">
        <is>
          <t>The average lifespan in years; the rate is lambda = 1/mean.</t>
        </is>
      </c>
    </row>
    <row r="16">
      <c r="A16" s="5" t="inlineStr">
        <is>
          <t>p</t>
        </is>
      </c>
      <c r="B16" s="6" t="n">
        <v>0.1</v>
      </c>
      <c r="C16" s="4" t="inlineStr">
        <is>
          <t>The share of machines allowed to fail under warranty.</t>
        </is>
      </c>
    </row>
    <row r="18">
      <c r="A18" s="5" t="inlineStr">
        <is>
          <t>lambda = 1/mean</t>
        </is>
      </c>
      <c r="D18" s="7">
        <f>1/B15</f>
        <v/>
      </c>
    </row>
    <row r="19">
      <c r="A19" s="5" t="inlineStr">
        <is>
          <t>Warranty period  x = -LN(1-p)/lambda</t>
        </is>
      </c>
      <c r="D19" s="7">
        <f>-LN(1-B16)/(1/B15)</f>
        <v/>
      </c>
    </row>
    <row r="20">
      <c r="A20" s="5" t="inlineStr">
        <is>
          <t>In months</t>
        </is>
      </c>
      <c r="D20" s="7">
        <f>-LN(1-B16)/(1/B15)*12</f>
        <v/>
      </c>
    </row>
    <row r="22">
      <c r="A22" s="4" t="inlineStr">
        <is>
          <t>Change x, lambda, the mean or p in the yellow cells: every area and the warranty recalculate.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4" customWidth="1" min="1" max="1"/>
    <col width="12" customWidth="1" min="2" max="2"/>
    <col width="60" customWidth="1" min="3" max="3"/>
    <col width="14" customWidth="1" min="4" max="4"/>
  </cols>
  <sheetData>
    <row r="1">
      <c r="A1" s="1" t="inlineStr">
        <is>
          <t>Jahez deliveries: normally distributed times (mu = 30, sigma = 5)</t>
        </is>
      </c>
    </row>
    <row r="3">
      <c r="A3" s="5" t="inlineStr">
        <is>
          <t>mu</t>
        </is>
      </c>
      <c r="B3" s="6" t="n">
        <v>30</v>
      </c>
      <c r="C3" s="4" t="inlineStr">
        <is>
          <t>The mean of the distribution.</t>
        </is>
      </c>
    </row>
    <row r="4">
      <c r="A4" s="5" t="inlineStr">
        <is>
          <t>sigma</t>
        </is>
      </c>
      <c r="B4" s="6" t="n">
        <v>5</v>
      </c>
      <c r="C4" s="4" t="inlineStr">
        <is>
          <t>The standard deviation.</t>
        </is>
      </c>
    </row>
    <row r="5">
      <c r="A5" s="5" t="inlineStr">
        <is>
          <t>x</t>
        </is>
      </c>
      <c r="B5" s="6" t="n">
        <v>38</v>
      </c>
      <c r="C5" s="4" t="inlineStr">
        <is>
          <t>A single cut (the 38-minute internal target).</t>
        </is>
      </c>
    </row>
    <row r="6">
      <c r="A6" s="5" t="inlineStr">
        <is>
          <t>x_lo</t>
        </is>
      </c>
      <c r="B6" s="6" t="n">
        <v>25</v>
      </c>
      <c r="C6" s="4" t="inlineStr">
        <is>
          <t>The lower cut of a band (standard delivery window).</t>
        </is>
      </c>
    </row>
    <row r="7">
      <c r="A7" s="5" t="inlineStr">
        <is>
          <t>x_hi</t>
        </is>
      </c>
      <c r="B7" s="6" t="n">
        <v>35</v>
      </c>
      <c r="C7" s="4" t="inlineStr">
        <is>
          <t>The upper cut of the band.</t>
        </is>
      </c>
    </row>
    <row r="8">
      <c r="A8" s="5" t="inlineStr">
        <is>
          <t>p</t>
        </is>
      </c>
      <c r="B8" s="6" t="n">
        <v>0.98</v>
      </c>
      <c r="C8" s="4" t="inlineStr">
        <is>
          <t>An area LEFT of an unknown cut (the guarantee: 1 - 0.02).</t>
        </is>
      </c>
    </row>
    <row r="10">
      <c r="A10" s="5" t="inlineStr">
        <is>
          <t>z-score of x  STANDARDIZE(x, mu, sigma)</t>
        </is>
      </c>
      <c r="D10" s="7">
        <f>STANDARDIZE(B5,B3,B4)</f>
        <v/>
      </c>
    </row>
    <row r="11">
      <c r="A11" s="5" t="inlineStr">
        <is>
          <t>P(X &lt;= x)   NORM.DIST cumulative TRUE</t>
        </is>
      </c>
      <c r="D11" s="7">
        <f>_xlfn.NORM.DIST(B5,B3,B4,TRUE)</f>
        <v/>
      </c>
    </row>
    <row r="12">
      <c r="A12" s="5" t="inlineStr">
        <is>
          <t>The same from the z-score  NORM.S.DIST(z, TRUE)</t>
        </is>
      </c>
      <c r="D12" s="7">
        <f>_xlfn.NORM.S.DIST(STANDARDIZE(B5,B3,B4),TRUE)</f>
        <v/>
      </c>
    </row>
    <row r="13">
      <c r="A13" s="5" t="inlineStr">
        <is>
          <t>P(X &gt; 40)   the service-failure tail (complement)</t>
        </is>
      </c>
      <c r="D13" s="7">
        <f>1-_xlfn.NORM.DIST(40,B3,B4,TRUE)</f>
        <v/>
      </c>
    </row>
    <row r="14">
      <c r="A14" s="5" t="inlineStr">
        <is>
          <t>P(x_lo &lt;= X &lt;= x_hi)   two cumulative areas subtracted</t>
        </is>
      </c>
      <c r="D14" s="7">
        <f>_xlfn.NORM.DIST(B7,B3,B4,TRUE)-_xlfn.NORM.DIST(B6,B3,B4,TRUE)</f>
        <v/>
      </c>
    </row>
    <row r="15">
      <c r="A15" s="5" t="inlineStr">
        <is>
          <t>Inverse: the x with area p to its left  NORM.INV(p, mu, sigma)</t>
        </is>
      </c>
      <c r="D15" s="7">
        <f>_xlfn.NORM.INV(B8,B3,B4)</f>
        <v/>
      </c>
    </row>
    <row r="16">
      <c r="A16" s="5" t="inlineStr">
        <is>
          <t>The z alone  NORM.S.INV(p)</t>
        </is>
      </c>
      <c r="D16" s="7">
        <f>_xlfn.NORM.S.INV(B8)</f>
        <v/>
      </c>
    </row>
    <row r="18">
      <c r="A18" s="4" t="inlineStr">
        <is>
          <t>The slide numbers: P(X &lt;= 38) = 0.9452 (94.5% meet the target), P(X &gt; 40) = 0.02275 (about 228</t>
        </is>
      </c>
    </row>
    <row r="19">
      <c r="A19" s="4" t="inlineStr">
        <is>
          <t>vouchers on 10,000 orders), P(25 &lt;= X &lt;= 35) = 0.6827, and the guarantee NORM.INV(0.98, 30, 5) = 40.27.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The cumulative Z table, live: each cell is NORM.S.DIST(z, TRUE), the area LEFT of z</t>
        </is>
      </c>
    </row>
    <row r="3">
      <c r="A3" s="2" t="inlineStr">
        <is>
          <t>z</t>
        </is>
      </c>
      <c r="B3" s="8" t="n">
        <v>0</v>
      </c>
      <c r="C3" s="8" t="n">
        <v>0.01</v>
      </c>
      <c r="D3" s="8" t="n">
        <v>0.02</v>
      </c>
      <c r="E3" s="8" t="n">
        <v>0.03</v>
      </c>
      <c r="F3" s="8" t="n">
        <v>0.04</v>
      </c>
      <c r="G3" s="8" t="n">
        <v>0.05</v>
      </c>
      <c r="H3" s="8" t="n">
        <v>0.06</v>
      </c>
      <c r="I3" s="8" t="n">
        <v>0.07000000000000001</v>
      </c>
      <c r="J3" s="8" t="n">
        <v>0.08</v>
      </c>
      <c r="K3" s="8" t="n">
        <v>0.09</v>
      </c>
    </row>
    <row r="4">
      <c r="A4" s="9" t="n">
        <v>0</v>
      </c>
      <c r="B4" s="7">
        <f>_xlfn.NORM.S.DIST($A4+B$3,TRUE)</f>
        <v/>
      </c>
      <c r="C4" s="7">
        <f>_xlfn.NORM.S.DIST($A4+C$3,TRUE)</f>
        <v/>
      </c>
      <c r="D4" s="7">
        <f>_xlfn.NORM.S.DIST($A4+D$3,TRUE)</f>
        <v/>
      </c>
      <c r="E4" s="7">
        <f>_xlfn.NORM.S.DIST($A4+E$3,TRUE)</f>
        <v/>
      </c>
      <c r="F4" s="7">
        <f>_xlfn.NORM.S.DIST($A4+F$3,TRUE)</f>
        <v/>
      </c>
      <c r="G4" s="7">
        <f>_xlfn.NORM.S.DIST($A4+G$3,TRUE)</f>
        <v/>
      </c>
      <c r="H4" s="7">
        <f>_xlfn.NORM.S.DIST($A4+H$3,TRUE)</f>
        <v/>
      </c>
      <c r="I4" s="7">
        <f>_xlfn.NORM.S.DIST($A4+I$3,TRUE)</f>
        <v/>
      </c>
      <c r="J4" s="7">
        <f>_xlfn.NORM.S.DIST($A4+J$3,TRUE)</f>
        <v/>
      </c>
      <c r="K4" s="7">
        <f>_xlfn.NORM.S.DIST($A4+K$3,TRUE)</f>
        <v/>
      </c>
    </row>
    <row r="5">
      <c r="A5" s="9" t="n">
        <v>0.1</v>
      </c>
      <c r="B5" s="7">
        <f>_xlfn.NORM.S.DIST($A5+B$3,TRUE)</f>
        <v/>
      </c>
      <c r="C5" s="7">
        <f>_xlfn.NORM.S.DIST($A5+C$3,TRUE)</f>
        <v/>
      </c>
      <c r="D5" s="7">
        <f>_xlfn.NORM.S.DIST($A5+D$3,TRUE)</f>
        <v/>
      </c>
      <c r="E5" s="7">
        <f>_xlfn.NORM.S.DIST($A5+E$3,TRUE)</f>
        <v/>
      </c>
      <c r="F5" s="7">
        <f>_xlfn.NORM.S.DIST($A5+F$3,TRUE)</f>
        <v/>
      </c>
      <c r="G5" s="7">
        <f>_xlfn.NORM.S.DIST($A5+G$3,TRUE)</f>
        <v/>
      </c>
      <c r="H5" s="7">
        <f>_xlfn.NORM.S.DIST($A5+H$3,TRUE)</f>
        <v/>
      </c>
      <c r="I5" s="7">
        <f>_xlfn.NORM.S.DIST($A5+I$3,TRUE)</f>
        <v/>
      </c>
      <c r="J5" s="7">
        <f>_xlfn.NORM.S.DIST($A5+J$3,TRUE)</f>
        <v/>
      </c>
      <c r="K5" s="7">
        <f>_xlfn.NORM.S.DIST($A5+K$3,TRUE)</f>
        <v/>
      </c>
    </row>
    <row r="6">
      <c r="A6" s="9" t="n">
        <v>0.2</v>
      </c>
      <c r="B6" s="7">
        <f>_xlfn.NORM.S.DIST($A6+B$3,TRUE)</f>
        <v/>
      </c>
      <c r="C6" s="7">
        <f>_xlfn.NORM.S.DIST($A6+C$3,TRUE)</f>
        <v/>
      </c>
      <c r="D6" s="7">
        <f>_xlfn.NORM.S.DIST($A6+D$3,TRUE)</f>
        <v/>
      </c>
      <c r="E6" s="7">
        <f>_xlfn.NORM.S.DIST($A6+E$3,TRUE)</f>
        <v/>
      </c>
      <c r="F6" s="7">
        <f>_xlfn.NORM.S.DIST($A6+F$3,TRUE)</f>
        <v/>
      </c>
      <c r="G6" s="7">
        <f>_xlfn.NORM.S.DIST($A6+G$3,TRUE)</f>
        <v/>
      </c>
      <c r="H6" s="7">
        <f>_xlfn.NORM.S.DIST($A6+H$3,TRUE)</f>
        <v/>
      </c>
      <c r="I6" s="7">
        <f>_xlfn.NORM.S.DIST($A6+I$3,TRUE)</f>
        <v/>
      </c>
      <c r="J6" s="7">
        <f>_xlfn.NORM.S.DIST($A6+J$3,TRUE)</f>
        <v/>
      </c>
      <c r="K6" s="7">
        <f>_xlfn.NORM.S.DIST($A6+K$3,TRUE)</f>
        <v/>
      </c>
    </row>
    <row r="7">
      <c r="A7" s="9" t="n">
        <v>0.3</v>
      </c>
      <c r="B7" s="7">
        <f>_xlfn.NORM.S.DIST($A7+B$3,TRUE)</f>
        <v/>
      </c>
      <c r="C7" s="7">
        <f>_xlfn.NORM.S.DIST($A7+C$3,TRUE)</f>
        <v/>
      </c>
      <c r="D7" s="7">
        <f>_xlfn.NORM.S.DIST($A7+D$3,TRUE)</f>
        <v/>
      </c>
      <c r="E7" s="7">
        <f>_xlfn.NORM.S.DIST($A7+E$3,TRUE)</f>
        <v/>
      </c>
      <c r="F7" s="7">
        <f>_xlfn.NORM.S.DIST($A7+F$3,TRUE)</f>
        <v/>
      </c>
      <c r="G7" s="7">
        <f>_xlfn.NORM.S.DIST($A7+G$3,TRUE)</f>
        <v/>
      </c>
      <c r="H7" s="7">
        <f>_xlfn.NORM.S.DIST($A7+H$3,TRUE)</f>
        <v/>
      </c>
      <c r="I7" s="7">
        <f>_xlfn.NORM.S.DIST($A7+I$3,TRUE)</f>
        <v/>
      </c>
      <c r="J7" s="7">
        <f>_xlfn.NORM.S.DIST($A7+J$3,TRUE)</f>
        <v/>
      </c>
      <c r="K7" s="7">
        <f>_xlfn.NORM.S.DIST($A7+K$3,TRUE)</f>
        <v/>
      </c>
    </row>
    <row r="8">
      <c r="A8" s="9" t="n">
        <v>0.4</v>
      </c>
      <c r="B8" s="7">
        <f>_xlfn.NORM.S.DIST($A8+B$3,TRUE)</f>
        <v/>
      </c>
      <c r="C8" s="7">
        <f>_xlfn.NORM.S.DIST($A8+C$3,TRUE)</f>
        <v/>
      </c>
      <c r="D8" s="7">
        <f>_xlfn.NORM.S.DIST($A8+D$3,TRUE)</f>
        <v/>
      </c>
      <c r="E8" s="7">
        <f>_xlfn.NORM.S.DIST($A8+E$3,TRUE)</f>
        <v/>
      </c>
      <c r="F8" s="7">
        <f>_xlfn.NORM.S.DIST($A8+F$3,TRUE)</f>
        <v/>
      </c>
      <c r="G8" s="7">
        <f>_xlfn.NORM.S.DIST($A8+G$3,TRUE)</f>
        <v/>
      </c>
      <c r="H8" s="7">
        <f>_xlfn.NORM.S.DIST($A8+H$3,TRUE)</f>
        <v/>
      </c>
      <c r="I8" s="7">
        <f>_xlfn.NORM.S.DIST($A8+I$3,TRUE)</f>
        <v/>
      </c>
      <c r="J8" s="7">
        <f>_xlfn.NORM.S.DIST($A8+J$3,TRUE)</f>
        <v/>
      </c>
      <c r="K8" s="7">
        <f>_xlfn.NORM.S.DIST($A8+K$3,TRUE)</f>
        <v/>
      </c>
    </row>
    <row r="9">
      <c r="A9" s="9" t="n">
        <v>0.5</v>
      </c>
      <c r="B9" s="7">
        <f>_xlfn.NORM.S.DIST($A9+B$3,TRUE)</f>
        <v/>
      </c>
      <c r="C9" s="7">
        <f>_xlfn.NORM.S.DIST($A9+C$3,TRUE)</f>
        <v/>
      </c>
      <c r="D9" s="7">
        <f>_xlfn.NORM.S.DIST($A9+D$3,TRUE)</f>
        <v/>
      </c>
      <c r="E9" s="7">
        <f>_xlfn.NORM.S.DIST($A9+E$3,TRUE)</f>
        <v/>
      </c>
      <c r="F9" s="7">
        <f>_xlfn.NORM.S.DIST($A9+F$3,TRUE)</f>
        <v/>
      </c>
      <c r="G9" s="7">
        <f>_xlfn.NORM.S.DIST($A9+G$3,TRUE)</f>
        <v/>
      </c>
      <c r="H9" s="7">
        <f>_xlfn.NORM.S.DIST($A9+H$3,TRUE)</f>
        <v/>
      </c>
      <c r="I9" s="7">
        <f>_xlfn.NORM.S.DIST($A9+I$3,TRUE)</f>
        <v/>
      </c>
      <c r="J9" s="7">
        <f>_xlfn.NORM.S.DIST($A9+J$3,TRUE)</f>
        <v/>
      </c>
      <c r="K9" s="7">
        <f>_xlfn.NORM.S.DIST($A9+K$3,TRUE)</f>
        <v/>
      </c>
    </row>
    <row r="10">
      <c r="A10" s="9" t="n">
        <v>0.6</v>
      </c>
      <c r="B10" s="7">
        <f>_xlfn.NORM.S.DIST($A10+B$3,TRUE)</f>
        <v/>
      </c>
      <c r="C10" s="7">
        <f>_xlfn.NORM.S.DIST($A10+C$3,TRUE)</f>
        <v/>
      </c>
      <c r="D10" s="7">
        <f>_xlfn.NORM.S.DIST($A10+D$3,TRUE)</f>
        <v/>
      </c>
      <c r="E10" s="7">
        <f>_xlfn.NORM.S.DIST($A10+E$3,TRUE)</f>
        <v/>
      </c>
      <c r="F10" s="7">
        <f>_xlfn.NORM.S.DIST($A10+F$3,TRUE)</f>
        <v/>
      </c>
      <c r="G10" s="7">
        <f>_xlfn.NORM.S.DIST($A10+G$3,TRUE)</f>
        <v/>
      </c>
      <c r="H10" s="7">
        <f>_xlfn.NORM.S.DIST($A10+H$3,TRUE)</f>
        <v/>
      </c>
      <c r="I10" s="7">
        <f>_xlfn.NORM.S.DIST($A10+I$3,TRUE)</f>
        <v/>
      </c>
      <c r="J10" s="7">
        <f>_xlfn.NORM.S.DIST($A10+J$3,TRUE)</f>
        <v/>
      </c>
      <c r="K10" s="7">
        <f>_xlfn.NORM.S.DIST($A10+K$3,TRUE)</f>
        <v/>
      </c>
    </row>
    <row r="11">
      <c r="A11" s="9" t="n">
        <v>0.7</v>
      </c>
      <c r="B11" s="7">
        <f>_xlfn.NORM.S.DIST($A11+B$3,TRUE)</f>
        <v/>
      </c>
      <c r="C11" s="7">
        <f>_xlfn.NORM.S.DIST($A11+C$3,TRUE)</f>
        <v/>
      </c>
      <c r="D11" s="7">
        <f>_xlfn.NORM.S.DIST($A11+D$3,TRUE)</f>
        <v/>
      </c>
      <c r="E11" s="7">
        <f>_xlfn.NORM.S.DIST($A11+E$3,TRUE)</f>
        <v/>
      </c>
      <c r="F11" s="7">
        <f>_xlfn.NORM.S.DIST($A11+F$3,TRUE)</f>
        <v/>
      </c>
      <c r="G11" s="7">
        <f>_xlfn.NORM.S.DIST($A11+G$3,TRUE)</f>
        <v/>
      </c>
      <c r="H11" s="7">
        <f>_xlfn.NORM.S.DIST($A11+H$3,TRUE)</f>
        <v/>
      </c>
      <c r="I11" s="7">
        <f>_xlfn.NORM.S.DIST($A11+I$3,TRUE)</f>
        <v/>
      </c>
      <c r="J11" s="7">
        <f>_xlfn.NORM.S.DIST($A11+J$3,TRUE)</f>
        <v/>
      </c>
      <c r="K11" s="7">
        <f>_xlfn.NORM.S.DIST($A11+K$3,TRUE)</f>
        <v/>
      </c>
    </row>
    <row r="12">
      <c r="A12" s="9" t="n">
        <v>0.8</v>
      </c>
      <c r="B12" s="7">
        <f>_xlfn.NORM.S.DIST($A12+B$3,TRUE)</f>
        <v/>
      </c>
      <c r="C12" s="7">
        <f>_xlfn.NORM.S.DIST($A12+C$3,TRUE)</f>
        <v/>
      </c>
      <c r="D12" s="7">
        <f>_xlfn.NORM.S.DIST($A12+D$3,TRUE)</f>
        <v/>
      </c>
      <c r="E12" s="7">
        <f>_xlfn.NORM.S.DIST($A12+E$3,TRUE)</f>
        <v/>
      </c>
      <c r="F12" s="7">
        <f>_xlfn.NORM.S.DIST($A12+F$3,TRUE)</f>
        <v/>
      </c>
      <c r="G12" s="7">
        <f>_xlfn.NORM.S.DIST($A12+G$3,TRUE)</f>
        <v/>
      </c>
      <c r="H12" s="7">
        <f>_xlfn.NORM.S.DIST($A12+H$3,TRUE)</f>
        <v/>
      </c>
      <c r="I12" s="7">
        <f>_xlfn.NORM.S.DIST($A12+I$3,TRUE)</f>
        <v/>
      </c>
      <c r="J12" s="7">
        <f>_xlfn.NORM.S.DIST($A12+J$3,TRUE)</f>
        <v/>
      </c>
      <c r="K12" s="7">
        <f>_xlfn.NORM.S.DIST($A12+K$3,TRUE)</f>
        <v/>
      </c>
    </row>
    <row r="13">
      <c r="A13" s="9" t="n">
        <v>0.9</v>
      </c>
      <c r="B13" s="7">
        <f>_xlfn.NORM.S.DIST($A13+B$3,TRUE)</f>
        <v/>
      </c>
      <c r="C13" s="7">
        <f>_xlfn.NORM.S.DIST($A13+C$3,TRUE)</f>
        <v/>
      </c>
      <c r="D13" s="7">
        <f>_xlfn.NORM.S.DIST($A13+D$3,TRUE)</f>
        <v/>
      </c>
      <c r="E13" s="7">
        <f>_xlfn.NORM.S.DIST($A13+E$3,TRUE)</f>
        <v/>
      </c>
      <c r="F13" s="7">
        <f>_xlfn.NORM.S.DIST($A13+F$3,TRUE)</f>
        <v/>
      </c>
      <c r="G13" s="7">
        <f>_xlfn.NORM.S.DIST($A13+G$3,TRUE)</f>
        <v/>
      </c>
      <c r="H13" s="7">
        <f>_xlfn.NORM.S.DIST($A13+H$3,TRUE)</f>
        <v/>
      </c>
      <c r="I13" s="7">
        <f>_xlfn.NORM.S.DIST($A13+I$3,TRUE)</f>
        <v/>
      </c>
      <c r="J13" s="7">
        <f>_xlfn.NORM.S.DIST($A13+J$3,TRUE)</f>
        <v/>
      </c>
      <c r="K13" s="7">
        <f>_xlfn.NORM.S.DIST($A13+K$3,TRUE)</f>
        <v/>
      </c>
    </row>
    <row r="14">
      <c r="A14" s="9" t="n">
        <v>1</v>
      </c>
      <c r="B14" s="7">
        <f>_xlfn.NORM.S.DIST($A14+B$3,TRUE)</f>
        <v/>
      </c>
      <c r="C14" s="7">
        <f>_xlfn.NORM.S.DIST($A14+C$3,TRUE)</f>
        <v/>
      </c>
      <c r="D14" s="7">
        <f>_xlfn.NORM.S.DIST($A14+D$3,TRUE)</f>
        <v/>
      </c>
      <c r="E14" s="7">
        <f>_xlfn.NORM.S.DIST($A14+E$3,TRUE)</f>
        <v/>
      </c>
      <c r="F14" s="7">
        <f>_xlfn.NORM.S.DIST($A14+F$3,TRUE)</f>
        <v/>
      </c>
      <c r="G14" s="7">
        <f>_xlfn.NORM.S.DIST($A14+G$3,TRUE)</f>
        <v/>
      </c>
      <c r="H14" s="7">
        <f>_xlfn.NORM.S.DIST($A14+H$3,TRUE)</f>
        <v/>
      </c>
      <c r="I14" s="7">
        <f>_xlfn.NORM.S.DIST($A14+I$3,TRUE)</f>
        <v/>
      </c>
      <c r="J14" s="7">
        <f>_xlfn.NORM.S.DIST($A14+J$3,TRUE)</f>
        <v/>
      </c>
      <c r="K14" s="7">
        <f>_xlfn.NORM.S.DIST($A14+K$3,TRUE)</f>
        <v/>
      </c>
    </row>
    <row r="15">
      <c r="A15" s="9" t="n">
        <v>1.1</v>
      </c>
      <c r="B15" s="7">
        <f>_xlfn.NORM.S.DIST($A15+B$3,TRUE)</f>
        <v/>
      </c>
      <c r="C15" s="7">
        <f>_xlfn.NORM.S.DIST($A15+C$3,TRUE)</f>
        <v/>
      </c>
      <c r="D15" s="7">
        <f>_xlfn.NORM.S.DIST($A15+D$3,TRUE)</f>
        <v/>
      </c>
      <c r="E15" s="7">
        <f>_xlfn.NORM.S.DIST($A15+E$3,TRUE)</f>
        <v/>
      </c>
      <c r="F15" s="7">
        <f>_xlfn.NORM.S.DIST($A15+F$3,TRUE)</f>
        <v/>
      </c>
      <c r="G15" s="7">
        <f>_xlfn.NORM.S.DIST($A15+G$3,TRUE)</f>
        <v/>
      </c>
      <c r="H15" s="7">
        <f>_xlfn.NORM.S.DIST($A15+H$3,TRUE)</f>
        <v/>
      </c>
      <c r="I15" s="7">
        <f>_xlfn.NORM.S.DIST($A15+I$3,TRUE)</f>
        <v/>
      </c>
      <c r="J15" s="7">
        <f>_xlfn.NORM.S.DIST($A15+J$3,TRUE)</f>
        <v/>
      </c>
      <c r="K15" s="7">
        <f>_xlfn.NORM.S.DIST($A15+K$3,TRUE)</f>
        <v/>
      </c>
    </row>
    <row r="16">
      <c r="A16" s="9" t="n">
        <v>1.2</v>
      </c>
      <c r="B16" s="7">
        <f>_xlfn.NORM.S.DIST($A16+B$3,TRUE)</f>
        <v/>
      </c>
      <c r="C16" s="7">
        <f>_xlfn.NORM.S.DIST($A16+C$3,TRUE)</f>
        <v/>
      </c>
      <c r="D16" s="7">
        <f>_xlfn.NORM.S.DIST($A16+D$3,TRUE)</f>
        <v/>
      </c>
      <c r="E16" s="7">
        <f>_xlfn.NORM.S.DIST($A16+E$3,TRUE)</f>
        <v/>
      </c>
      <c r="F16" s="7">
        <f>_xlfn.NORM.S.DIST($A16+F$3,TRUE)</f>
        <v/>
      </c>
      <c r="G16" s="7">
        <f>_xlfn.NORM.S.DIST($A16+G$3,TRUE)</f>
        <v/>
      </c>
      <c r="H16" s="7">
        <f>_xlfn.NORM.S.DIST($A16+H$3,TRUE)</f>
        <v/>
      </c>
      <c r="I16" s="7">
        <f>_xlfn.NORM.S.DIST($A16+I$3,TRUE)</f>
        <v/>
      </c>
      <c r="J16" s="7">
        <f>_xlfn.NORM.S.DIST($A16+J$3,TRUE)</f>
        <v/>
      </c>
      <c r="K16" s="7">
        <f>_xlfn.NORM.S.DIST($A16+K$3,TRUE)</f>
        <v/>
      </c>
    </row>
    <row r="17">
      <c r="A17" s="9" t="n">
        <v>1.3</v>
      </c>
      <c r="B17" s="7">
        <f>_xlfn.NORM.S.DIST($A17+B$3,TRUE)</f>
        <v/>
      </c>
      <c r="C17" s="7">
        <f>_xlfn.NORM.S.DIST($A17+C$3,TRUE)</f>
        <v/>
      </c>
      <c r="D17" s="7">
        <f>_xlfn.NORM.S.DIST($A17+D$3,TRUE)</f>
        <v/>
      </c>
      <c r="E17" s="7">
        <f>_xlfn.NORM.S.DIST($A17+E$3,TRUE)</f>
        <v/>
      </c>
      <c r="F17" s="7">
        <f>_xlfn.NORM.S.DIST($A17+F$3,TRUE)</f>
        <v/>
      </c>
      <c r="G17" s="7">
        <f>_xlfn.NORM.S.DIST($A17+G$3,TRUE)</f>
        <v/>
      </c>
      <c r="H17" s="7">
        <f>_xlfn.NORM.S.DIST($A17+H$3,TRUE)</f>
        <v/>
      </c>
      <c r="I17" s="7">
        <f>_xlfn.NORM.S.DIST($A17+I$3,TRUE)</f>
        <v/>
      </c>
      <c r="J17" s="7">
        <f>_xlfn.NORM.S.DIST($A17+J$3,TRUE)</f>
        <v/>
      </c>
      <c r="K17" s="7">
        <f>_xlfn.NORM.S.DIST($A17+K$3,TRUE)</f>
        <v/>
      </c>
    </row>
    <row r="18">
      <c r="A18" s="9" t="n">
        <v>1.4</v>
      </c>
      <c r="B18" s="7">
        <f>_xlfn.NORM.S.DIST($A18+B$3,TRUE)</f>
        <v/>
      </c>
      <c r="C18" s="7">
        <f>_xlfn.NORM.S.DIST($A18+C$3,TRUE)</f>
        <v/>
      </c>
      <c r="D18" s="7">
        <f>_xlfn.NORM.S.DIST($A18+D$3,TRUE)</f>
        <v/>
      </c>
      <c r="E18" s="7">
        <f>_xlfn.NORM.S.DIST($A18+E$3,TRUE)</f>
        <v/>
      </c>
      <c r="F18" s="7">
        <f>_xlfn.NORM.S.DIST($A18+F$3,TRUE)</f>
        <v/>
      </c>
      <c r="G18" s="7">
        <f>_xlfn.NORM.S.DIST($A18+G$3,TRUE)</f>
        <v/>
      </c>
      <c r="H18" s="7">
        <f>_xlfn.NORM.S.DIST($A18+H$3,TRUE)</f>
        <v/>
      </c>
      <c r="I18" s="7">
        <f>_xlfn.NORM.S.DIST($A18+I$3,TRUE)</f>
        <v/>
      </c>
      <c r="J18" s="7">
        <f>_xlfn.NORM.S.DIST($A18+J$3,TRUE)</f>
        <v/>
      </c>
      <c r="K18" s="7">
        <f>_xlfn.NORM.S.DIST($A18+K$3,TRUE)</f>
        <v/>
      </c>
    </row>
    <row r="19">
      <c r="A19" s="9" t="n">
        <v>1.5</v>
      </c>
      <c r="B19" s="7">
        <f>_xlfn.NORM.S.DIST($A19+B$3,TRUE)</f>
        <v/>
      </c>
      <c r="C19" s="7">
        <f>_xlfn.NORM.S.DIST($A19+C$3,TRUE)</f>
        <v/>
      </c>
      <c r="D19" s="7">
        <f>_xlfn.NORM.S.DIST($A19+D$3,TRUE)</f>
        <v/>
      </c>
      <c r="E19" s="7">
        <f>_xlfn.NORM.S.DIST($A19+E$3,TRUE)</f>
        <v/>
      </c>
      <c r="F19" s="7">
        <f>_xlfn.NORM.S.DIST($A19+F$3,TRUE)</f>
        <v/>
      </c>
      <c r="G19" s="7">
        <f>_xlfn.NORM.S.DIST($A19+G$3,TRUE)</f>
        <v/>
      </c>
      <c r="H19" s="7">
        <f>_xlfn.NORM.S.DIST($A19+H$3,TRUE)</f>
        <v/>
      </c>
      <c r="I19" s="7">
        <f>_xlfn.NORM.S.DIST($A19+I$3,TRUE)</f>
        <v/>
      </c>
      <c r="J19" s="7">
        <f>_xlfn.NORM.S.DIST($A19+J$3,TRUE)</f>
        <v/>
      </c>
      <c r="K19" s="7">
        <f>_xlfn.NORM.S.DIST($A19+K$3,TRUE)</f>
        <v/>
      </c>
    </row>
    <row r="20">
      <c r="A20" s="9" t="n">
        <v>1.6</v>
      </c>
      <c r="B20" s="7">
        <f>_xlfn.NORM.S.DIST($A20+B$3,TRUE)</f>
        <v/>
      </c>
      <c r="C20" s="7">
        <f>_xlfn.NORM.S.DIST($A20+C$3,TRUE)</f>
        <v/>
      </c>
      <c r="D20" s="7">
        <f>_xlfn.NORM.S.DIST($A20+D$3,TRUE)</f>
        <v/>
      </c>
      <c r="E20" s="7">
        <f>_xlfn.NORM.S.DIST($A20+E$3,TRUE)</f>
        <v/>
      </c>
      <c r="F20" s="7">
        <f>_xlfn.NORM.S.DIST($A20+F$3,TRUE)</f>
        <v/>
      </c>
      <c r="G20" s="7">
        <f>_xlfn.NORM.S.DIST($A20+G$3,TRUE)</f>
        <v/>
      </c>
      <c r="H20" s="7">
        <f>_xlfn.NORM.S.DIST($A20+H$3,TRUE)</f>
        <v/>
      </c>
      <c r="I20" s="7">
        <f>_xlfn.NORM.S.DIST($A20+I$3,TRUE)</f>
        <v/>
      </c>
      <c r="J20" s="7">
        <f>_xlfn.NORM.S.DIST($A20+J$3,TRUE)</f>
        <v/>
      </c>
      <c r="K20" s="7">
        <f>_xlfn.NORM.S.DIST($A20+K$3,TRUE)</f>
        <v/>
      </c>
    </row>
    <row r="21">
      <c r="A21" s="9" t="n">
        <v>1.7</v>
      </c>
      <c r="B21" s="7">
        <f>_xlfn.NORM.S.DIST($A21+B$3,TRUE)</f>
        <v/>
      </c>
      <c r="C21" s="7">
        <f>_xlfn.NORM.S.DIST($A21+C$3,TRUE)</f>
        <v/>
      </c>
      <c r="D21" s="7">
        <f>_xlfn.NORM.S.DIST($A21+D$3,TRUE)</f>
        <v/>
      </c>
      <c r="E21" s="7">
        <f>_xlfn.NORM.S.DIST($A21+E$3,TRUE)</f>
        <v/>
      </c>
      <c r="F21" s="7">
        <f>_xlfn.NORM.S.DIST($A21+F$3,TRUE)</f>
        <v/>
      </c>
      <c r="G21" s="7">
        <f>_xlfn.NORM.S.DIST($A21+G$3,TRUE)</f>
        <v/>
      </c>
      <c r="H21" s="7">
        <f>_xlfn.NORM.S.DIST($A21+H$3,TRUE)</f>
        <v/>
      </c>
      <c r="I21" s="7">
        <f>_xlfn.NORM.S.DIST($A21+I$3,TRUE)</f>
        <v/>
      </c>
      <c r="J21" s="7">
        <f>_xlfn.NORM.S.DIST($A21+J$3,TRUE)</f>
        <v/>
      </c>
      <c r="K21" s="7">
        <f>_xlfn.NORM.S.DIST($A21+K$3,TRUE)</f>
        <v/>
      </c>
    </row>
    <row r="22">
      <c r="A22" s="9" t="n">
        <v>1.8</v>
      </c>
      <c r="B22" s="7">
        <f>_xlfn.NORM.S.DIST($A22+B$3,TRUE)</f>
        <v/>
      </c>
      <c r="C22" s="7">
        <f>_xlfn.NORM.S.DIST($A22+C$3,TRUE)</f>
        <v/>
      </c>
      <c r="D22" s="7">
        <f>_xlfn.NORM.S.DIST($A22+D$3,TRUE)</f>
        <v/>
      </c>
      <c r="E22" s="7">
        <f>_xlfn.NORM.S.DIST($A22+E$3,TRUE)</f>
        <v/>
      </c>
      <c r="F22" s="7">
        <f>_xlfn.NORM.S.DIST($A22+F$3,TRUE)</f>
        <v/>
      </c>
      <c r="G22" s="7">
        <f>_xlfn.NORM.S.DIST($A22+G$3,TRUE)</f>
        <v/>
      </c>
      <c r="H22" s="7">
        <f>_xlfn.NORM.S.DIST($A22+H$3,TRUE)</f>
        <v/>
      </c>
      <c r="I22" s="7">
        <f>_xlfn.NORM.S.DIST($A22+I$3,TRUE)</f>
        <v/>
      </c>
      <c r="J22" s="7">
        <f>_xlfn.NORM.S.DIST($A22+J$3,TRUE)</f>
        <v/>
      </c>
      <c r="K22" s="7">
        <f>_xlfn.NORM.S.DIST($A22+K$3,TRUE)</f>
        <v/>
      </c>
    </row>
    <row r="23">
      <c r="A23" s="9" t="n">
        <v>1.9</v>
      </c>
      <c r="B23" s="7">
        <f>_xlfn.NORM.S.DIST($A23+B$3,TRUE)</f>
        <v/>
      </c>
      <c r="C23" s="7">
        <f>_xlfn.NORM.S.DIST($A23+C$3,TRUE)</f>
        <v/>
      </c>
      <c r="D23" s="7">
        <f>_xlfn.NORM.S.DIST($A23+D$3,TRUE)</f>
        <v/>
      </c>
      <c r="E23" s="7">
        <f>_xlfn.NORM.S.DIST($A23+E$3,TRUE)</f>
        <v/>
      </c>
      <c r="F23" s="7">
        <f>_xlfn.NORM.S.DIST($A23+F$3,TRUE)</f>
        <v/>
      </c>
      <c r="G23" s="7">
        <f>_xlfn.NORM.S.DIST($A23+G$3,TRUE)</f>
        <v/>
      </c>
      <c r="H23" s="7">
        <f>_xlfn.NORM.S.DIST($A23+H$3,TRUE)</f>
        <v/>
      </c>
      <c r="I23" s="7">
        <f>_xlfn.NORM.S.DIST($A23+I$3,TRUE)</f>
        <v/>
      </c>
      <c r="J23" s="7">
        <f>_xlfn.NORM.S.DIST($A23+J$3,TRUE)</f>
        <v/>
      </c>
      <c r="K23" s="7">
        <f>_xlfn.NORM.S.DIST($A23+K$3,TRUE)</f>
        <v/>
      </c>
    </row>
    <row r="24">
      <c r="A24" s="9" t="n">
        <v>2</v>
      </c>
      <c r="B24" s="7">
        <f>_xlfn.NORM.S.DIST($A24+B$3,TRUE)</f>
        <v/>
      </c>
      <c r="C24" s="7">
        <f>_xlfn.NORM.S.DIST($A24+C$3,TRUE)</f>
        <v/>
      </c>
      <c r="D24" s="7">
        <f>_xlfn.NORM.S.DIST($A24+D$3,TRUE)</f>
        <v/>
      </c>
      <c r="E24" s="7">
        <f>_xlfn.NORM.S.DIST($A24+E$3,TRUE)</f>
        <v/>
      </c>
      <c r="F24" s="7">
        <f>_xlfn.NORM.S.DIST($A24+F$3,TRUE)</f>
        <v/>
      </c>
      <c r="G24" s="7">
        <f>_xlfn.NORM.S.DIST($A24+G$3,TRUE)</f>
        <v/>
      </c>
      <c r="H24" s="7">
        <f>_xlfn.NORM.S.DIST($A24+H$3,TRUE)</f>
        <v/>
      </c>
      <c r="I24" s="7">
        <f>_xlfn.NORM.S.DIST($A24+I$3,TRUE)</f>
        <v/>
      </c>
      <c r="J24" s="7">
        <f>_xlfn.NORM.S.DIST($A24+J$3,TRUE)</f>
        <v/>
      </c>
      <c r="K24" s="7">
        <f>_xlfn.NORM.S.DIST($A24+K$3,TRUE)</f>
        <v/>
      </c>
    </row>
    <row r="25">
      <c r="A25" s="9" t="n">
        <v>2.1</v>
      </c>
      <c r="B25" s="7">
        <f>_xlfn.NORM.S.DIST($A25+B$3,TRUE)</f>
        <v/>
      </c>
      <c r="C25" s="7">
        <f>_xlfn.NORM.S.DIST($A25+C$3,TRUE)</f>
        <v/>
      </c>
      <c r="D25" s="7">
        <f>_xlfn.NORM.S.DIST($A25+D$3,TRUE)</f>
        <v/>
      </c>
      <c r="E25" s="7">
        <f>_xlfn.NORM.S.DIST($A25+E$3,TRUE)</f>
        <v/>
      </c>
      <c r="F25" s="7">
        <f>_xlfn.NORM.S.DIST($A25+F$3,TRUE)</f>
        <v/>
      </c>
      <c r="G25" s="7">
        <f>_xlfn.NORM.S.DIST($A25+G$3,TRUE)</f>
        <v/>
      </c>
      <c r="H25" s="7">
        <f>_xlfn.NORM.S.DIST($A25+H$3,TRUE)</f>
        <v/>
      </c>
      <c r="I25" s="7">
        <f>_xlfn.NORM.S.DIST($A25+I$3,TRUE)</f>
        <v/>
      </c>
      <c r="J25" s="7">
        <f>_xlfn.NORM.S.DIST($A25+J$3,TRUE)</f>
        <v/>
      </c>
      <c r="K25" s="7">
        <f>_xlfn.NORM.S.DIST($A25+K$3,TRUE)</f>
        <v/>
      </c>
    </row>
    <row r="26">
      <c r="A26" s="9" t="n">
        <v>2.2</v>
      </c>
      <c r="B26" s="7">
        <f>_xlfn.NORM.S.DIST($A26+B$3,TRUE)</f>
        <v/>
      </c>
      <c r="C26" s="7">
        <f>_xlfn.NORM.S.DIST($A26+C$3,TRUE)</f>
        <v/>
      </c>
      <c r="D26" s="7">
        <f>_xlfn.NORM.S.DIST($A26+D$3,TRUE)</f>
        <v/>
      </c>
      <c r="E26" s="7">
        <f>_xlfn.NORM.S.DIST($A26+E$3,TRUE)</f>
        <v/>
      </c>
      <c r="F26" s="7">
        <f>_xlfn.NORM.S.DIST($A26+F$3,TRUE)</f>
        <v/>
      </c>
      <c r="G26" s="7">
        <f>_xlfn.NORM.S.DIST($A26+G$3,TRUE)</f>
        <v/>
      </c>
      <c r="H26" s="7">
        <f>_xlfn.NORM.S.DIST($A26+H$3,TRUE)</f>
        <v/>
      </c>
      <c r="I26" s="7">
        <f>_xlfn.NORM.S.DIST($A26+I$3,TRUE)</f>
        <v/>
      </c>
      <c r="J26" s="7">
        <f>_xlfn.NORM.S.DIST($A26+J$3,TRUE)</f>
        <v/>
      </c>
      <c r="K26" s="7">
        <f>_xlfn.NORM.S.DIST($A26+K$3,TRUE)</f>
        <v/>
      </c>
    </row>
    <row r="27">
      <c r="A27" s="9" t="n">
        <v>2.3</v>
      </c>
      <c r="B27" s="7">
        <f>_xlfn.NORM.S.DIST($A27+B$3,TRUE)</f>
        <v/>
      </c>
      <c r="C27" s="7">
        <f>_xlfn.NORM.S.DIST($A27+C$3,TRUE)</f>
        <v/>
      </c>
      <c r="D27" s="7">
        <f>_xlfn.NORM.S.DIST($A27+D$3,TRUE)</f>
        <v/>
      </c>
      <c r="E27" s="7">
        <f>_xlfn.NORM.S.DIST($A27+E$3,TRUE)</f>
        <v/>
      </c>
      <c r="F27" s="7">
        <f>_xlfn.NORM.S.DIST($A27+F$3,TRUE)</f>
        <v/>
      </c>
      <c r="G27" s="7">
        <f>_xlfn.NORM.S.DIST($A27+G$3,TRUE)</f>
        <v/>
      </c>
      <c r="H27" s="7">
        <f>_xlfn.NORM.S.DIST($A27+H$3,TRUE)</f>
        <v/>
      </c>
      <c r="I27" s="7">
        <f>_xlfn.NORM.S.DIST($A27+I$3,TRUE)</f>
        <v/>
      </c>
      <c r="J27" s="7">
        <f>_xlfn.NORM.S.DIST($A27+J$3,TRUE)</f>
        <v/>
      </c>
      <c r="K27" s="7">
        <f>_xlfn.NORM.S.DIST($A27+K$3,TRUE)</f>
        <v/>
      </c>
    </row>
    <row r="28">
      <c r="A28" s="9" t="n">
        <v>2.4</v>
      </c>
      <c r="B28" s="7">
        <f>_xlfn.NORM.S.DIST($A28+B$3,TRUE)</f>
        <v/>
      </c>
      <c r="C28" s="7">
        <f>_xlfn.NORM.S.DIST($A28+C$3,TRUE)</f>
        <v/>
      </c>
      <c r="D28" s="7">
        <f>_xlfn.NORM.S.DIST($A28+D$3,TRUE)</f>
        <v/>
      </c>
      <c r="E28" s="7">
        <f>_xlfn.NORM.S.DIST($A28+E$3,TRUE)</f>
        <v/>
      </c>
      <c r="F28" s="7">
        <f>_xlfn.NORM.S.DIST($A28+F$3,TRUE)</f>
        <v/>
      </c>
      <c r="G28" s="7">
        <f>_xlfn.NORM.S.DIST($A28+G$3,TRUE)</f>
        <v/>
      </c>
      <c r="H28" s="7">
        <f>_xlfn.NORM.S.DIST($A28+H$3,TRUE)</f>
        <v/>
      </c>
      <c r="I28" s="7">
        <f>_xlfn.NORM.S.DIST($A28+I$3,TRUE)</f>
        <v/>
      </c>
      <c r="J28" s="7">
        <f>_xlfn.NORM.S.DIST($A28+J$3,TRUE)</f>
        <v/>
      </c>
      <c r="K28" s="7">
        <f>_xlfn.NORM.S.DIST($A28+K$3,TRUE)</f>
        <v/>
      </c>
    </row>
    <row r="29">
      <c r="A29" s="9" t="n">
        <v>2.5</v>
      </c>
      <c r="B29" s="7">
        <f>_xlfn.NORM.S.DIST($A29+B$3,TRUE)</f>
        <v/>
      </c>
      <c r="C29" s="7">
        <f>_xlfn.NORM.S.DIST($A29+C$3,TRUE)</f>
        <v/>
      </c>
      <c r="D29" s="7">
        <f>_xlfn.NORM.S.DIST($A29+D$3,TRUE)</f>
        <v/>
      </c>
      <c r="E29" s="7">
        <f>_xlfn.NORM.S.DIST($A29+E$3,TRUE)</f>
        <v/>
      </c>
      <c r="F29" s="7">
        <f>_xlfn.NORM.S.DIST($A29+F$3,TRUE)</f>
        <v/>
      </c>
      <c r="G29" s="7">
        <f>_xlfn.NORM.S.DIST($A29+G$3,TRUE)</f>
        <v/>
      </c>
      <c r="H29" s="7">
        <f>_xlfn.NORM.S.DIST($A29+H$3,TRUE)</f>
        <v/>
      </c>
      <c r="I29" s="7">
        <f>_xlfn.NORM.S.DIST($A29+I$3,TRUE)</f>
        <v/>
      </c>
      <c r="J29" s="7">
        <f>_xlfn.NORM.S.DIST($A29+J$3,TRUE)</f>
        <v/>
      </c>
      <c r="K29" s="7">
        <f>_xlfn.NORM.S.DIST($A29+K$3,TRUE)</f>
        <v/>
      </c>
    </row>
    <row r="30">
      <c r="A30" s="9" t="n">
        <v>2.6</v>
      </c>
      <c r="B30" s="7">
        <f>_xlfn.NORM.S.DIST($A30+B$3,TRUE)</f>
        <v/>
      </c>
      <c r="C30" s="7">
        <f>_xlfn.NORM.S.DIST($A30+C$3,TRUE)</f>
        <v/>
      </c>
      <c r="D30" s="7">
        <f>_xlfn.NORM.S.DIST($A30+D$3,TRUE)</f>
        <v/>
      </c>
      <c r="E30" s="7">
        <f>_xlfn.NORM.S.DIST($A30+E$3,TRUE)</f>
        <v/>
      </c>
      <c r="F30" s="7">
        <f>_xlfn.NORM.S.DIST($A30+F$3,TRUE)</f>
        <v/>
      </c>
      <c r="G30" s="7">
        <f>_xlfn.NORM.S.DIST($A30+G$3,TRUE)</f>
        <v/>
      </c>
      <c r="H30" s="7">
        <f>_xlfn.NORM.S.DIST($A30+H$3,TRUE)</f>
        <v/>
      </c>
      <c r="I30" s="7">
        <f>_xlfn.NORM.S.DIST($A30+I$3,TRUE)</f>
        <v/>
      </c>
      <c r="J30" s="7">
        <f>_xlfn.NORM.S.DIST($A30+J$3,TRUE)</f>
        <v/>
      </c>
      <c r="K30" s="7">
        <f>_xlfn.NORM.S.DIST($A30+K$3,TRUE)</f>
        <v/>
      </c>
    </row>
    <row r="31">
      <c r="A31" s="9" t="n">
        <v>2.7</v>
      </c>
      <c r="B31" s="7">
        <f>_xlfn.NORM.S.DIST($A31+B$3,TRUE)</f>
        <v/>
      </c>
      <c r="C31" s="7">
        <f>_xlfn.NORM.S.DIST($A31+C$3,TRUE)</f>
        <v/>
      </c>
      <c r="D31" s="7">
        <f>_xlfn.NORM.S.DIST($A31+D$3,TRUE)</f>
        <v/>
      </c>
      <c r="E31" s="7">
        <f>_xlfn.NORM.S.DIST($A31+E$3,TRUE)</f>
        <v/>
      </c>
      <c r="F31" s="7">
        <f>_xlfn.NORM.S.DIST($A31+F$3,TRUE)</f>
        <v/>
      </c>
      <c r="G31" s="7">
        <f>_xlfn.NORM.S.DIST($A31+G$3,TRUE)</f>
        <v/>
      </c>
      <c r="H31" s="7">
        <f>_xlfn.NORM.S.DIST($A31+H$3,TRUE)</f>
        <v/>
      </c>
      <c r="I31" s="7">
        <f>_xlfn.NORM.S.DIST($A31+I$3,TRUE)</f>
        <v/>
      </c>
      <c r="J31" s="7">
        <f>_xlfn.NORM.S.DIST($A31+J$3,TRUE)</f>
        <v/>
      </c>
      <c r="K31" s="7">
        <f>_xlfn.NORM.S.DIST($A31+K$3,TRUE)</f>
        <v/>
      </c>
    </row>
    <row r="32">
      <c r="A32" s="9" t="n">
        <v>2.8</v>
      </c>
      <c r="B32" s="7">
        <f>_xlfn.NORM.S.DIST($A32+B$3,TRUE)</f>
        <v/>
      </c>
      <c r="C32" s="7">
        <f>_xlfn.NORM.S.DIST($A32+C$3,TRUE)</f>
        <v/>
      </c>
      <c r="D32" s="7">
        <f>_xlfn.NORM.S.DIST($A32+D$3,TRUE)</f>
        <v/>
      </c>
      <c r="E32" s="7">
        <f>_xlfn.NORM.S.DIST($A32+E$3,TRUE)</f>
        <v/>
      </c>
      <c r="F32" s="7">
        <f>_xlfn.NORM.S.DIST($A32+F$3,TRUE)</f>
        <v/>
      </c>
      <c r="G32" s="7">
        <f>_xlfn.NORM.S.DIST($A32+G$3,TRUE)</f>
        <v/>
      </c>
      <c r="H32" s="7">
        <f>_xlfn.NORM.S.DIST($A32+H$3,TRUE)</f>
        <v/>
      </c>
      <c r="I32" s="7">
        <f>_xlfn.NORM.S.DIST($A32+I$3,TRUE)</f>
        <v/>
      </c>
      <c r="J32" s="7">
        <f>_xlfn.NORM.S.DIST($A32+J$3,TRUE)</f>
        <v/>
      </c>
      <c r="K32" s="7">
        <f>_xlfn.NORM.S.DIST($A32+K$3,TRUE)</f>
        <v/>
      </c>
    </row>
    <row r="33">
      <c r="A33" s="9" t="n">
        <v>2.9</v>
      </c>
      <c r="B33" s="7">
        <f>_xlfn.NORM.S.DIST($A33+B$3,TRUE)</f>
        <v/>
      </c>
      <c r="C33" s="7">
        <f>_xlfn.NORM.S.DIST($A33+C$3,TRUE)</f>
        <v/>
      </c>
      <c r="D33" s="7">
        <f>_xlfn.NORM.S.DIST($A33+D$3,TRUE)</f>
        <v/>
      </c>
      <c r="E33" s="7">
        <f>_xlfn.NORM.S.DIST($A33+E$3,TRUE)</f>
        <v/>
      </c>
      <c r="F33" s="7">
        <f>_xlfn.NORM.S.DIST($A33+F$3,TRUE)</f>
        <v/>
      </c>
      <c r="G33" s="7">
        <f>_xlfn.NORM.S.DIST($A33+G$3,TRUE)</f>
        <v/>
      </c>
      <c r="H33" s="7">
        <f>_xlfn.NORM.S.DIST($A33+H$3,TRUE)</f>
        <v/>
      </c>
      <c r="I33" s="7">
        <f>_xlfn.NORM.S.DIST($A33+I$3,TRUE)</f>
        <v/>
      </c>
      <c r="J33" s="7">
        <f>_xlfn.NORM.S.DIST($A33+J$3,TRUE)</f>
        <v/>
      </c>
      <c r="K33" s="7">
        <f>_xlfn.NORM.S.DIST($A33+K$3,TRUE)</f>
        <v/>
      </c>
    </row>
    <row r="34">
      <c r="A34" s="9" t="n">
        <v>3</v>
      </c>
      <c r="B34" s="7">
        <f>_xlfn.NORM.S.DIST($A34+B$3,TRUE)</f>
        <v/>
      </c>
      <c r="C34" s="7">
        <f>_xlfn.NORM.S.DIST($A34+C$3,TRUE)</f>
        <v/>
      </c>
      <c r="D34" s="7">
        <f>_xlfn.NORM.S.DIST($A34+D$3,TRUE)</f>
        <v/>
      </c>
      <c r="E34" s="7">
        <f>_xlfn.NORM.S.DIST($A34+E$3,TRUE)</f>
        <v/>
      </c>
      <c r="F34" s="7">
        <f>_xlfn.NORM.S.DIST($A34+F$3,TRUE)</f>
        <v/>
      </c>
      <c r="G34" s="7">
        <f>_xlfn.NORM.S.DIST($A34+G$3,TRUE)</f>
        <v/>
      </c>
      <c r="H34" s="7">
        <f>_xlfn.NORM.S.DIST($A34+H$3,TRUE)</f>
        <v/>
      </c>
      <c r="I34" s="7">
        <f>_xlfn.NORM.S.DIST($A34+I$3,TRUE)</f>
        <v/>
      </c>
      <c r="J34" s="7">
        <f>_xlfn.NORM.S.DIST($A34+J$3,TRUE)</f>
        <v/>
      </c>
      <c r="K34" s="7">
        <f>_xlfn.NORM.S.DIST($A34+K$3,TRUE)</f>
        <v/>
      </c>
    </row>
    <row r="36">
      <c r="A36" s="4" t="inlineStr">
        <is>
          <t>Read it exactly like the printed table: row = the first two digits of z, column = the second decimal.</t>
        </is>
      </c>
    </row>
    <row r="37">
      <c r="A37" s="4" t="inlineStr">
        <is>
          <t>For a negative z use the symmetry of the curve: P(Z &lt; -z) = 1 - P(Z &lt; z).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54" customWidth="1" min="3" max="3"/>
    <col width="14" customWidth="1" min="4" max="4"/>
  </cols>
  <sheetData>
    <row r="1">
      <c r="A1" s="1" t="inlineStr">
        <is>
          <t>Normal probability calculator: type your own numbers in the yellow cells</t>
        </is>
      </c>
    </row>
    <row r="3">
      <c r="A3" s="5" t="inlineStr">
        <is>
          <t>mu</t>
        </is>
      </c>
      <c r="B3" s="6" t="n">
        <v>100</v>
      </c>
      <c r="C3" s="4" t="inlineStr">
        <is>
          <t>The mean of your normal distribution.</t>
        </is>
      </c>
    </row>
    <row r="4">
      <c r="A4" s="5" t="inlineStr">
        <is>
          <t>sigma</t>
        </is>
      </c>
      <c r="B4" s="6" t="n">
        <v>10</v>
      </c>
      <c r="C4" s="4" t="inlineStr">
        <is>
          <t>The standard deviation (must be positive).</t>
        </is>
      </c>
    </row>
    <row r="5">
      <c r="A5" s="5" t="inlineStr">
        <is>
          <t>x</t>
        </is>
      </c>
      <c r="B5" s="6" t="n">
        <v>115</v>
      </c>
      <c r="C5" s="4" t="inlineStr">
        <is>
          <t>A single value: its z-score and left area appear on the right.</t>
        </is>
      </c>
    </row>
    <row r="6">
      <c r="A6" s="5" t="inlineStr">
        <is>
          <t>x_lo</t>
        </is>
      </c>
      <c r="B6" s="6" t="n">
        <v>90</v>
      </c>
      <c r="C6" s="4" t="inlineStr">
        <is>
          <t>The lower cut of a band.</t>
        </is>
      </c>
    </row>
    <row r="7">
      <c r="A7" s="5" t="inlineStr">
        <is>
          <t>x_hi</t>
        </is>
      </c>
      <c r="B7" s="6" t="n">
        <v>110</v>
      </c>
      <c r="C7" s="4" t="inlineStr">
        <is>
          <t>The upper cut of the band.</t>
        </is>
      </c>
    </row>
    <row r="8">
      <c r="A8" s="5" t="inlineStr">
        <is>
          <t>p</t>
        </is>
      </c>
      <c r="B8" s="6" t="n">
        <v>0.95</v>
      </c>
      <c r="C8" s="4" t="inlineStr">
        <is>
          <t>A left area between 0 and 1: the inverse gives the x that cuts it.</t>
        </is>
      </c>
    </row>
    <row r="10">
      <c r="A10" s="5" t="inlineStr">
        <is>
          <t>z-score of x  z = (x - mu)/sigma</t>
        </is>
      </c>
      <c r="D10" s="7">
        <f>STANDARDIZE(B5,B3,B4)</f>
        <v/>
      </c>
    </row>
    <row r="11">
      <c r="A11" s="5" t="inlineStr">
        <is>
          <t>P(X &lt; x)   the area left of x</t>
        </is>
      </c>
      <c r="D11" s="7">
        <f>_xlfn.NORM.DIST(B5,B3,B4,TRUE)</f>
        <v/>
      </c>
    </row>
    <row r="12">
      <c r="A12" s="5" t="inlineStr">
        <is>
          <t>P(X &gt; x)   the complement tail</t>
        </is>
      </c>
      <c r="D12" s="7">
        <f>1-_xlfn.NORM.DIST(B5,B3,B4,TRUE)</f>
        <v/>
      </c>
    </row>
    <row r="13">
      <c r="A13" s="5" t="inlineStr">
        <is>
          <t>P(x_lo &lt; X &lt; x_hi)   the band</t>
        </is>
      </c>
      <c r="D13" s="7">
        <f>_xlfn.NORM.DIST(B7,B3,B4,TRUE)-_xlfn.NORM.DIST(B6,B3,B4,TRUE)</f>
        <v/>
      </c>
    </row>
    <row r="14">
      <c r="A14" s="5" t="inlineStr">
        <is>
          <t>Inverse: the x with area p to its left</t>
        </is>
      </c>
      <c r="D14" s="7">
        <f>_xlfn.NORM.INV(B8,B3,B4)</f>
        <v/>
      </c>
    </row>
    <row r="15">
      <c r="A15" s="5" t="inlineStr">
        <is>
          <t>The landmark check  P(mu-sigma &lt; X &lt; mu+sigma)</t>
        </is>
      </c>
      <c r="D15" s="7">
        <f>_xlfn.NORM.DIST(B3+B4,B3,B4,TRUE)-_xlfn.NORM.DIST(B3-B4,B3,B4,TRUE)</f>
        <v/>
      </c>
    </row>
    <row r="17">
      <c r="A17" s="5">
        <f>IF(B4&lt;=0,"CHECK: sigma must be positive","OK: a valid normal distribution")</f>
        <v/>
      </c>
    </row>
    <row r="19">
      <c r="A19" s="4" t="inlineStr">
        <is>
          <t>Every normal problem in Chapter 7 fits one of these rows: a left area, a right tail, a band,</t>
        </is>
      </c>
    </row>
    <row r="20">
      <c r="A20" s="4" t="inlineStr">
        <is>
          <t>or an inverse. The landmark row should always show about 0.68268: the 68% rule, exactly.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2026-08-24T06:46:52Z</dcterms:created>
  <dcterms:modified xmlns:dcterms="http://purl.org/dc/terms/" xmlns:xsi="http://www.w3.org/2001/XMLSchema-instance" xsi:type="dcterms:W3CDTF">2026-08-24T06:46:52Z</dcterms:modified>
</cp:coreProperties>
</file>