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ployee Ages" sheetId="2" state="visible" r:id="rId4"/>
    <sheet name="stc Hours" sheetId="3" state="visible" r:id="rId5"/>
    <sheet name="Bean Orders" sheetId="4" state="visible" r:id="rId6"/>
    <sheet name="Monthly Revenue" sheetId="5" state="visible" r:id="rId7"/>
    <sheet name="Var Calculation" sheetId="6" state="visible" r:id="rId8"/>
    <sheet name="Branch Hours" sheetId="7" state="visible" r:id="rId9"/>
    <sheet name="Wages Sample" sheetId="8" state="visible" r:id="rId10"/>
    <sheet name="Branch Customer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<sst xmlns="http://schemas.openxmlformats.org/spreadsheetml/2006/main" count="127" uniqueCount="106">
  <si>
    <t xml:space="preserve">QUA 107 · Chapter 3 · Describing Data: Numerical Measures · data workbook</t>
  </si>
  <si>
    <t xml:space="preserve">Sheet</t>
  </si>
  <si>
    <t xml:space="preserve">Contents</t>
  </si>
  <si>
    <t xml:space="preserve">Used on slides</t>
  </si>
  <si>
    <t xml:space="preserve">Employee Ages</t>
  </si>
  <si>
    <t xml:space="preserve">Ages of all 36 head-office employees (population mean example)</t>
  </si>
  <si>
    <t xml:space="preserve">Slide 6</t>
  </si>
  <si>
    <t xml:space="preserve">stc Hours</t>
  </si>
  <si>
    <t xml:space="preserve">Hours of phone use per day, sample of 12 customers (sample mean)</t>
  </si>
  <si>
    <t xml:space="preserve">Slide 7</t>
  </si>
  <si>
    <t xml:space="preserve">Bean Orders</t>
  </si>
  <si>
    <t xml:space="preserve">Four bean orders: cost per kg and kilograms (weighted mean)</t>
  </si>
  <si>
    <t xml:space="preserve">Slide 13</t>
  </si>
  <si>
    <t xml:space="preserve">Monthly Revenue</t>
  </si>
  <si>
    <t xml:space="preserve">Restaurant in Jeddah, all 12 months of 2024, in '000 riyals</t>
  </si>
  <si>
    <t xml:space="preserve">Slides 21 and 22</t>
  </si>
  <si>
    <t xml:space="preserve">Var Calculation</t>
  </si>
  <si>
    <t xml:space="preserve">The full variance table for the monthly revenue: deviations, squares, sigma^2, sigma</t>
  </si>
  <si>
    <t xml:space="preserve">Branch Hours</t>
  </si>
  <si>
    <t xml:space="preserve">Cups per hour at the Olaya and Malaz branches, 16 random hours each</t>
  </si>
  <si>
    <t xml:space="preserve">Slides 18 and 19</t>
  </si>
  <si>
    <t xml:space="preserve">Wages Sample</t>
  </si>
  <si>
    <t xml:space="preserve">Five hourly wages: the sample variance table</t>
  </si>
  <si>
    <t xml:space="preserve">Slide 24</t>
  </si>
  <si>
    <t xml:space="preserve">Branch Customers</t>
  </si>
  <si>
    <t xml:space="preserve">Daily customers at 15 branches: quartiles and the five-number summary</t>
  </si>
  <si>
    <t xml:space="preserve">Slides 35 and 36</t>
  </si>
  <si>
    <t xml:space="preserve">All money amounts are in Saudi riyals. Yellow cells are data you may change; the formulas recalculate.</t>
  </si>
  <si>
    <t xml:space="preserve">Age</t>
  </si>
  <si>
    <t xml:space="preserve">N =</t>
  </si>
  <si>
    <t xml:space="preserve">Sum =</t>
  </si>
  <si>
    <t xml:space="preserve">Population mean μ =</t>
  </si>
  <si>
    <t xml:space="preserve">Median =</t>
  </si>
  <si>
    <t xml:space="preserve">Hours per day</t>
  </si>
  <si>
    <t xml:space="preserve">n =</t>
  </si>
  <si>
    <t xml:space="preserve">Sample mean x̄ =</t>
  </si>
  <si>
    <t xml:space="preserve">Order</t>
  </si>
  <si>
    <t xml:space="preserve">Cost per kg (riyals)</t>
  </si>
  <si>
    <t xml:space="preserve">Kilograms</t>
  </si>
  <si>
    <t xml:space="preserve">Cost × kg</t>
  </si>
  <si>
    <t xml:space="preserve">Order 1</t>
  </si>
  <si>
    <t xml:space="preserve">Order 2</t>
  </si>
  <si>
    <t xml:space="preserve">Order 3</t>
  </si>
  <si>
    <t xml:space="preserve">Order 4</t>
  </si>
  <si>
    <t xml:space="preserve">Total</t>
  </si>
  <si>
    <t xml:space="preserve">Weighted mean (riyals per kg) =</t>
  </si>
  <si>
    <t xml:space="preserve">Plain mean of the 4 prices (for comparison) =</t>
  </si>
  <si>
    <t xml:space="preserve">Month</t>
  </si>
  <si>
    <t xml:space="preserve">Revenue ('000 riyals)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</si>
  <si>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</si>
  <si>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</si>
  <si>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</si>
  <si>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</si>
  <si>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</si>
  <si>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</si>
  <si>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</si>
  <si>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</si>
  <si>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</si>
  <si>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</si>
  <si>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</si>
  <si>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</si>
  <si>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μ</t>
  </si>
  <si>
    <t xml:space="preserve">(x − μ)</t>
  </si>
  <si>
    <t xml:space="preserve">(x − μ)^2</t>
  </si>
  <si>
    <t xml:space="preserve">Sum</t>
  </si>
  <si>
    <t xml:space="preserve">Population variance σ² = Σ(x−μ)²/N =</t>
  </si>
  <si>
    <t xml:space="preserve">Population standard deviation σ = √σ² =</t>
  </si>
  <si>
    <t xml:space="preserve">Note: the sum of the deviations (cell D14) is always 0: the mean is the balance point.</t>
  </si>
  <si>
    <t xml:space="preserve">Hour</t>
  </si>
  <si>
    <t xml:space="preserve">Olaya (cups)</t>
  </si>
  <si>
    <t xml:space="preserve">Malaz (cups)</t>
  </si>
  <si>
    <t xml:space="preserve">Mean</t>
  </si>
  <si>
    <t xml:space="preserve">Minimum</t>
  </si>
  <si>
    <t xml:space="preserve">Maximum</t>
  </si>
  <si>
    <t xml:space="preserve">Range</t>
  </si>
  <si>
    <t xml:space="preserve">Population std. dev. σ</t>
  </si>
  <si>
    <t xml:space="preserve">Hourly wage (riyals)</t>
  </si>
  <si>
    <t xml:space="preserve">(x − x̄)</t>
  </si>
  <si>
    <t xml:space="preserve">(x − x̄)^2</t>
  </si>
  <si>
    <t xml:space="preserve">Σ(x − x̄)² =</t>
  </si>
  <si>
    <t xml:space="preserve">Sample variance s² = Σ(x−x̄)²/(n−1) =</t>
  </si>
  <si>
    <t xml:space="preserve">Sample standard deviation s =</t>
  </si>
  <si>
    <t xml:space="preserve">Branch</t>
  </si>
  <si>
    <t xml:space="preserve">Daily customers</t>
  </si>
  <si>
    <t xml:space="preserve">Sorted (formula-free copy)</t>
  </si>
  <si>
    <t xml:space="preserve">Branch 1</t>
  </si>
  <si>
    <t xml:space="preserve">Branch 2</t>
  </si>
  <si>
    <t xml:space="preserve">Branch 3</t>
  </si>
  <si>
    <t xml:space="preserve">Branch 4</t>
  </si>
  <si>
    <t xml:space="preserve">Branch 5</t>
  </si>
  <si>
    <t xml:space="preserve">Branch 6</t>
  </si>
  <si>
    <t xml:space="preserve">Branch 7</t>
  </si>
  <si>
    <t xml:space="preserve">Branch 8</t>
  </si>
  <si>
    <t xml:space="preserve">Branch 9</t>
  </si>
  <si>
    <t xml:space="preserve">Branch 10</t>
  </si>
  <si>
    <t xml:space="preserve">Branch 11</t>
  </si>
  <si>
    <t xml:space="preserve">Branch 12</t>
  </si>
  <si>
    <t xml:space="preserve">Branch 13</t>
  </si>
  <si>
    <t xml:space="preserve">Branch 14</t>
  </si>
  <si>
    <t xml:space="preserve">Branch 15</t>
  </si>
  <si>
    <t xml:space="preserve">Q1 = QUARTILE.EXC(range, 1)</t>
  </si>
  <si>
    <t xml:space="preserve">Median = QUARTILE.EXC(range, 2)</t>
  </si>
  <si>
    <t xml:space="preserve">Q3 = QUARTILE.EXC(range, 3)</t>
  </si>
  <si>
    <t xml:space="preserve">P90 = PERCENTILE.EXC(range, 0.9)</t>
  </si>
  <si>
    <t xml:space="preserve">Note: the .EXC functions use the same (n + 1) method as the slides: with n = 15 the quartile</t>
  </si>
  <si>
    <t xml:space="preserve">locations (16 × 25/100 = 4, 8, 12) are whole numbers, so Q1, the median and Q3 are the 4th, 8th and 12th sorted values.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</si>
</sst>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5F8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74899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8DC3"/>
        <bgColor rgb="FF008080"/>
      </patternFill>
    </fill>
    <fill>
      <patternFill patternType="solid">
        <fgColor rgb="FFFFF3B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DC3"/>
      <rgbColor rgb="FFC0C0C0"/>
      <rgbColor rgb="FF748995"/>
      <rgbColor rgb="FF9999FF"/>
      <rgbColor rgb="FF993366"/>
      <rgbColor rgb="FFFFFFCC"/>
      <rgbColor rgb="FFCCFFFF"/>
      <rgbColor rgb="FF660066"/>
      <rgbColor rgb="FFFF8080"/>
      <rgbColor rgb="FF0B5F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8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s">
        <v>6</v>
      </c>
    </row>
    <row r="5" customFormat="false" ht="15" hidden="false" customHeight="false" outlineLevel="0" collapsed="false">
      <c r="A5" s="3" t="s">
        <v>7</v>
      </c>
      <c r="B5" s="3" t="s">
        <v>8</v>
      </c>
      <c r="C5" s="3" t="s">
        <v>9</v>
      </c>
    </row>
    <row r="6" customFormat="false" ht="15" hidden="false" customHeight="false" outlineLevel="0" collapsed="false">
      <c r="A6" s="3" t="s">
        <v>10</v>
      </c>
      <c r="B6" s="3" t="s">
        <v>11</v>
      </c>
      <c r="C6" s="3" t="s">
        <v>12</v>
      </c>
    </row>
    <row r="7" customFormat="false" ht="15" hidden="false" customHeight="false" outlineLevel="0" collapsed="false">
      <c r="A7" s="3" t="s">
        <v>13</v>
      </c>
      <c r="B7" s="3" t="s">
        <v>14</v>
      </c>
      <c r="C7" s="3" t="s">
        <v>15</v>
      </c>
    </row>
    <row r="8" customFormat="false" ht="15" hidden="false" customHeight="false" outlineLevel="0" collapsed="false">
      <c r="A8" s="3" t="s">
        <v>16</v>
      </c>
      <c r="B8" s="3" t="s">
        <v>17</v>
      </c>
      <c r="C8" s="3" t="s">
        <v>15</v>
      </c>
    </row>
    <row r="9" customFormat="false" ht="15" hidden="false" customHeight="false" outlineLevel="0" collapsed="false">
      <c r="A9" s="3" t="s">
        <v>18</v>
      </c>
      <c r="B9" s="3" t="s">
        <v>19</v>
      </c>
      <c r="C9" s="3" t="s">
        <v>20</v>
      </c>
    </row>
    <row r="10" customFormat="false" ht="15" hidden="false" customHeight="false" outlineLevel="0" collapsed="false">
      <c r="A10" s="3" t="s">
        <v>21</v>
      </c>
      <c r="B10" s="3" t="s">
        <v>22</v>
      </c>
      <c r="C10" s="3" t="s">
        <v>23</v>
      </c>
    </row>
    <row r="11" customFormat="false" ht="15" hidden="false" customHeight="false" outlineLevel="0" collapsed="false">
      <c r="A11" s="3" t="s">
        <v>24</v>
      </c>
      <c r="B11" s="3" t="s">
        <v>25</v>
      </c>
      <c r="C11" s="3" t="s">
        <v>26</v>
      </c>
    </row>
    <row r="13" customFormat="false" ht="15" hidden="false" customHeight="false" outlineLevel="0" collapsed="false">
      <c r="A13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2" t="s">
        <v>28</v>
      </c>
    </row>
    <row r="2" customFormat="false" ht="15" hidden="false" customHeight="false" outlineLevel="0" collapsed="false">
      <c r="A2" s="5" t="n">
        <v>24</v>
      </c>
      <c r="D2" s="6" t="s">
        <v>29</v>
      </c>
      <c r="E2" s="3" t="n">
        <f aca="false">COUNT(A2:A37)</f>
        <v>36</v>
      </c>
    </row>
    <row r="3" customFormat="false" ht="15" hidden="false" customHeight="false" outlineLevel="0" collapsed="false">
      <c r="A3" s="5" t="n">
        <v>25</v>
      </c>
      <c r="D3" s="6" t="s">
        <v>30</v>
      </c>
      <c r="E3" s="3" t="n">
        <f aca="false">SUM(A2:A37)</f>
        <v>1271</v>
      </c>
    </row>
    <row r="4" customFormat="false" ht="15" hidden="false" customHeight="false" outlineLevel="0" collapsed="false">
      <c r="A4" s="5" t="n">
        <v>25</v>
      </c>
      <c r="D4" s="6" t="s">
        <v>31</v>
      </c>
      <c r="E4" s="3" t="n">
        <f aca="false">AVERAGE(A2:A37)</f>
        <v>35.3055555555556</v>
      </c>
    </row>
    <row r="5" customFormat="false" ht="15" hidden="false" customHeight="false" outlineLevel="0" collapsed="false">
      <c r="A5" s="5" t="n">
        <v>26</v>
      </c>
      <c r="D5" s="6" t="s">
        <v>32</v>
      </c>
      <c r="E5" s="3" t="n">
        <f aca="false">MEDIAN(A2:A37)</f>
        <v>34</v>
      </c>
    </row>
    <row r="6" customFormat="false" ht="15" hidden="false" customHeight="false" outlineLevel="0" collapsed="false">
      <c r="A6" s="5" t="n">
        <v>28</v>
      </c>
    </row>
    <row r="7" customFormat="false" ht="15" hidden="false" customHeight="false" outlineLevel="0" collapsed="false">
      <c r="A7" s="5" t="n">
        <v>29</v>
      </c>
    </row>
    <row r="8" customFormat="false" ht="15" hidden="false" customHeight="false" outlineLevel="0" collapsed="false">
      <c r="A8" s="5" t="n">
        <v>31</v>
      </c>
    </row>
    <row r="9" customFormat="false" ht="15" hidden="false" customHeight="false" outlineLevel="0" collapsed="false">
      <c r="A9" s="5" t="n">
        <v>31</v>
      </c>
    </row>
    <row r="10" customFormat="false" ht="15" hidden="false" customHeight="false" outlineLevel="0" collapsed="false">
      <c r="A10" s="5" t="n">
        <v>32</v>
      </c>
    </row>
    <row r="11" customFormat="false" ht="15" hidden="false" customHeight="false" outlineLevel="0" collapsed="false">
      <c r="A11" s="5" t="n">
        <v>33</v>
      </c>
    </row>
    <row r="12" customFormat="false" ht="15" hidden="false" customHeight="false" outlineLevel="0" collapsed="false">
      <c r="A12" s="5" t="n">
        <v>34</v>
      </c>
    </row>
    <row r="13" customFormat="false" ht="15" hidden="false" customHeight="false" outlineLevel="0" collapsed="false">
      <c r="A13" s="5" t="n">
        <v>34</v>
      </c>
    </row>
    <row r="14" customFormat="false" ht="15" hidden="false" customHeight="false" outlineLevel="0" collapsed="false">
      <c r="A14" s="5" t="n">
        <v>36</v>
      </c>
    </row>
    <row r="15" customFormat="false" ht="15" hidden="false" customHeight="false" outlineLevel="0" collapsed="false">
      <c r="A15" s="5" t="n">
        <v>37</v>
      </c>
    </row>
    <row r="16" customFormat="false" ht="15" hidden="false" customHeight="false" outlineLevel="0" collapsed="false">
      <c r="A16" s="5" t="n">
        <v>38</v>
      </c>
    </row>
    <row r="17" customFormat="false" ht="15" hidden="false" customHeight="false" outlineLevel="0" collapsed="false">
      <c r="A17" s="5" t="n">
        <v>39</v>
      </c>
    </row>
    <row r="18" customFormat="false" ht="15" hidden="false" customHeight="false" outlineLevel="0" collapsed="false">
      <c r="A18" s="5" t="n">
        <v>40</v>
      </c>
    </row>
    <row r="19" customFormat="false" ht="15" hidden="false" customHeight="false" outlineLevel="0" collapsed="false">
      <c r="A19" s="5" t="n">
        <v>41</v>
      </c>
    </row>
    <row r="20" customFormat="false" ht="15" hidden="false" customHeight="false" outlineLevel="0" collapsed="false">
      <c r="A20" s="5" t="n">
        <v>43</v>
      </c>
    </row>
    <row r="21" customFormat="false" ht="15" hidden="false" customHeight="false" outlineLevel="0" collapsed="false">
      <c r="A21" s="5" t="n">
        <v>44</v>
      </c>
    </row>
    <row r="22" customFormat="false" ht="15" hidden="false" customHeight="false" outlineLevel="0" collapsed="false">
      <c r="A22" s="5" t="n">
        <v>45</v>
      </c>
    </row>
    <row r="23" customFormat="false" ht="15" hidden="false" customHeight="false" outlineLevel="0" collapsed="false">
      <c r="A23" s="5" t="n">
        <v>46</v>
      </c>
    </row>
    <row r="24" customFormat="false" ht="15" hidden="false" customHeight="false" outlineLevel="0" collapsed="false">
      <c r="A24" s="5" t="n">
        <v>47</v>
      </c>
    </row>
    <row r="25" customFormat="false" ht="15" hidden="false" customHeight="false" outlineLevel="0" collapsed="false">
      <c r="A25" s="5" t="n">
        <v>48</v>
      </c>
    </row>
    <row r="26" customFormat="false" ht="15" hidden="false" customHeight="false" outlineLevel="0" collapsed="false">
      <c r="A26" s="5" t="n">
        <v>50</v>
      </c>
    </row>
    <row r="27" customFormat="false" ht="15" hidden="false" customHeight="false" outlineLevel="0" collapsed="false">
      <c r="A27" s="5" t="n">
        <v>52</v>
      </c>
    </row>
    <row r="28" customFormat="false" ht="15" hidden="false" customHeight="false" outlineLevel="0" collapsed="false">
      <c r="A28" s="5" t="n">
        <v>30</v>
      </c>
    </row>
    <row r="29" customFormat="false" ht="15" hidden="false" customHeight="false" outlineLevel="0" collapsed="false">
      <c r="A29" s="5" t="n">
        <v>35</v>
      </c>
    </row>
    <row r="30" customFormat="false" ht="15" hidden="false" customHeight="false" outlineLevel="0" collapsed="false">
      <c r="A30" s="5" t="n">
        <v>42</v>
      </c>
    </row>
    <row r="31" customFormat="false" ht="15" hidden="false" customHeight="false" outlineLevel="0" collapsed="false">
      <c r="A31" s="5" t="n">
        <v>49</v>
      </c>
    </row>
    <row r="32" customFormat="false" ht="15" hidden="false" customHeight="false" outlineLevel="0" collapsed="false">
      <c r="A32" s="5" t="n">
        <v>24</v>
      </c>
    </row>
    <row r="33" customFormat="false" ht="15" hidden="false" customHeight="false" outlineLevel="0" collapsed="false">
      <c r="A33" s="5" t="n">
        <v>25</v>
      </c>
    </row>
    <row r="34" customFormat="false" ht="15" hidden="false" customHeight="false" outlineLevel="0" collapsed="false">
      <c r="A34" s="5" t="n">
        <v>25</v>
      </c>
    </row>
    <row r="35" customFormat="false" ht="15" hidden="false" customHeight="false" outlineLevel="0" collapsed="false">
      <c r="A35" s="5" t="n">
        <v>26</v>
      </c>
    </row>
    <row r="36" customFormat="false" ht="15" hidden="false" customHeight="false" outlineLevel="0" collapsed="false">
      <c r="A36" s="5" t="n">
        <v>28</v>
      </c>
    </row>
    <row r="37" customFormat="false" ht="15" hidden="false" customHeight="false" outlineLevel="0" collapsed="false">
      <c r="A37" s="5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2" t="s">
        <v>33</v>
      </c>
    </row>
    <row r="2" customFormat="false" ht="15" hidden="false" customHeight="false" outlineLevel="0" collapsed="false">
      <c r="A2" s="5" t="n">
        <v>4.1</v>
      </c>
      <c r="D2" s="6" t="s">
        <v>34</v>
      </c>
      <c r="E2" s="3" t="n">
        <f aca="false">COUNT(A2:A13)</f>
        <v>12</v>
      </c>
    </row>
    <row r="3" customFormat="false" ht="15" hidden="false" customHeight="false" outlineLevel="0" collapsed="false">
      <c r="A3" s="5" t="n">
        <v>3.7</v>
      </c>
      <c r="D3" s="6" t="s">
        <v>30</v>
      </c>
      <c r="E3" s="3" t="n">
        <f aca="false">SUM(A2:A13)</f>
        <v>54</v>
      </c>
    </row>
    <row r="4" customFormat="false" ht="15" hidden="false" customHeight="false" outlineLevel="0" collapsed="false">
      <c r="A4" s="5" t="n">
        <v>4.3</v>
      </c>
      <c r="D4" s="6" t="s">
        <v>35</v>
      </c>
      <c r="E4" s="3" t="n">
        <f aca="false">AVERAGE(A2:A13)</f>
        <v>4.5</v>
      </c>
    </row>
    <row r="5" customFormat="false" ht="15" hidden="false" customHeight="false" outlineLevel="0" collapsed="false">
      <c r="A5" s="5" t="n">
        <v>4.2</v>
      </c>
    </row>
    <row r="6" customFormat="false" ht="15" hidden="false" customHeight="false" outlineLevel="0" collapsed="false">
      <c r="A6" s="5" t="n">
        <v>5.5</v>
      </c>
    </row>
    <row r="7" customFormat="false" ht="15" hidden="false" customHeight="false" outlineLevel="0" collapsed="false">
      <c r="A7" s="5" t="n">
        <v>5.1</v>
      </c>
    </row>
    <row r="8" customFormat="false" ht="15" hidden="false" customHeight="false" outlineLevel="0" collapsed="false">
      <c r="A8" s="5" t="n">
        <v>4.2</v>
      </c>
    </row>
    <row r="9" customFormat="false" ht="15" hidden="false" customHeight="false" outlineLevel="0" collapsed="false">
      <c r="A9" s="5" t="n">
        <v>5.1</v>
      </c>
    </row>
    <row r="10" customFormat="false" ht="15" hidden="false" customHeight="false" outlineLevel="0" collapsed="false">
      <c r="A10" s="5" t="n">
        <v>4.2</v>
      </c>
    </row>
    <row r="11" customFormat="false" ht="15" hidden="false" customHeight="false" outlineLevel="0" collapsed="false">
      <c r="A11" s="5" t="n">
        <v>4.6</v>
      </c>
    </row>
    <row r="12" customFormat="false" ht="15" hidden="false" customHeight="false" outlineLevel="0" collapsed="false">
      <c r="A12" s="5" t="n">
        <v>5.2</v>
      </c>
    </row>
    <row r="13" customFormat="false" ht="15" hidden="false" customHeight="false" outlineLevel="0" collapsed="false">
      <c r="A13" s="5" t="n">
        <v>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7" t="s">
        <v>39</v>
      </c>
    </row>
    <row r="2" customFormat="false" ht="15" hidden="false" customHeight="false" outlineLevel="0" collapsed="false">
      <c r="A2" s="5" t="s">
        <v>40</v>
      </c>
      <c r="B2" s="3" t="n">
        <v>10</v>
      </c>
      <c r="C2" s="3" t="n">
        <v>100</v>
      </c>
      <c r="D2" s="3" t="n">
        <f aca="false">B2*C2</f>
        <v>1000</v>
      </c>
    </row>
    <row r="3" customFormat="false" ht="15" hidden="false" customHeight="false" outlineLevel="0" collapsed="false">
      <c r="A3" s="5" t="s">
        <v>41</v>
      </c>
      <c r="B3" s="3" t="n">
        <v>12</v>
      </c>
      <c r="C3" s="3" t="n">
        <v>150</v>
      </c>
      <c r="D3" s="3" t="n">
        <f aca="false">B3*C3</f>
        <v>1800</v>
      </c>
    </row>
    <row r="4" customFormat="false" ht="15" hidden="false" customHeight="false" outlineLevel="0" collapsed="false">
      <c r="A4" s="5" t="s">
        <v>42</v>
      </c>
      <c r="B4" s="3" t="n">
        <v>9</v>
      </c>
      <c r="C4" s="3" t="n">
        <v>200</v>
      </c>
      <c r="D4" s="3" t="n">
        <f aca="false">B4*C4</f>
        <v>1800</v>
      </c>
    </row>
    <row r="5" customFormat="false" ht="15" hidden="false" customHeight="false" outlineLevel="0" collapsed="false">
      <c r="A5" s="5" t="s">
        <v>43</v>
      </c>
      <c r="B5" s="3" t="n">
        <v>11</v>
      </c>
      <c r="C5" s="3" t="n">
        <v>75</v>
      </c>
      <c r="D5" s="3" t="n">
        <f aca="false">B5*C5</f>
        <v>825</v>
      </c>
    </row>
    <row r="6" customFormat="false" ht="15" hidden="false" customHeight="false" outlineLevel="0" collapsed="false">
      <c r="A6" s="6" t="s">
        <v>44</v>
      </c>
      <c r="C6" s="8" t="n">
        <f aca="false">SUM(C2:C5)</f>
        <v>525</v>
      </c>
      <c r="D6" s="8" t="n">
        <f aca="false">SUM(D2:D5)</f>
        <v>5425</v>
      </c>
    </row>
    <row r="8" customFormat="false" ht="15" hidden="false" customHeight="false" outlineLevel="0" collapsed="false">
      <c r="A8" s="6" t="s">
        <v>45</v>
      </c>
      <c r="D8" s="3" t="n">
        <f aca="false">D6/C6</f>
        <v>10.3333333333333</v>
      </c>
    </row>
    <row r="9" customFormat="false" ht="15" hidden="false" customHeight="false" outlineLevel="0" collapsed="false">
      <c r="A9" s="4" t="s">
        <v>46</v>
      </c>
      <c r="D9" s="3" t="n">
        <f aca="false">AVERAGE(B2:B5)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2" t="s">
        <v>47</v>
      </c>
      <c r="B1" s="2" t="s">
        <v>48</v>
      </c>
    </row>
    <row r="2" customFormat="false" ht="15" hidden="false" customHeight="false" outlineLevel="0" collapsed="false">
      <c r="A2" s="5" t="s">
        <v>49</v>
      </c>
      <c r="B2" s="3" t="n">
        <v>120</v>
      </c>
    </row>
    <row r="3" customFormat="false" ht="15" hidden="false" customHeight="false" outlineLevel="0" collapsed="false">
      <c r="A3" s="5" t="s">
        <v>50</v>
      </c>
      <c r="B3" s="3" t="n">
        <v>150</v>
      </c>
    </row>
    <row r="4" customFormat="false" ht="15" hidden="false" customHeight="false" outlineLevel="0" collapsed="false">
      <c r="A4" s="5" t="s">
        <v>51</v>
      </c>
      <c r="B4" s="3" t="n">
        <v>130</v>
      </c>
    </row>
    <row r="5" customFormat="false" ht="15" hidden="false" customHeight="false" outlineLevel="0" collapsed="false">
      <c r="A5" s="5" t="s">
        <v>52</v>
      </c>
      <c r="B5" s="3" t="n">
        <v>160</v>
      </c>
    </row>
    <row r="6" customFormat="false" ht="15" hidden="false" customHeight="false" outlineLevel="0" collapsed="false">
      <c r="A6" s="5" t="s">
        <v>53</v>
      </c>
      <c r="B6" s="3" t="n">
        <v>140</v>
      </c>
    </row>
    <row r="7" customFormat="false" ht="15" hidden="false" customHeight="false" outlineLevel="0" collapsed="false">
      <c r="A7" s="5" t="s">
        <v>54</v>
      </c>
      <c r="B7" s="3" t="n">
        <v>110</v>
      </c>
    </row>
    <row r="8" customFormat="false" ht="15" hidden="false" customHeight="false" outlineLevel="0" collapsed="false">
      <c r="A8" s="5" t="s">
        <v>55</v>
      </c>
      <c r="B8" s="3" t="n">
        <v>170</v>
      </c>
    </row>
    <row r="9" customFormat="false" ht="15" hidden="false" customHeight="false" outlineLevel="0" collapsed="false">
      <c r="A9" s="5" t="s">
        <v>56</v>
      </c>
      <c r="B9" s="3" t="n">
        <v>125</v>
      </c>
    </row>
    <row r="10" customFormat="false" ht="15" hidden="false" customHeight="false" outlineLevel="0" collapsed="false">
      <c r="A10" s="5" t="s">
        <v>57</v>
      </c>
      <c r="B10" s="3" t="n">
        <v>145</v>
      </c>
    </row>
    <row r="11" customFormat="false" ht="15" hidden="false" customHeight="false" outlineLevel="0" collapsed="false">
      <c r="A11" s="5" t="s">
        <v>58</v>
      </c>
      <c r="B11" s="3" t="n">
        <v>155</v>
      </c>
    </row>
    <row r="12" customFormat="false" ht="15" hidden="false" customHeight="false" outlineLevel="0" collapsed="false">
      <c r="A12" s="5" t="s">
        <v>59</v>
      </c>
      <c r="B12" s="3" t="n">
        <v>135</v>
      </c>
    </row>
    <row r="13" customFormat="false" ht="15" hidden="false" customHeight="false" outlineLevel="0" collapsed="false">
      <c r="A13" s="5" t="s">
        <v>60</v>
      </c>
      <c r="B13" s="3" t="n">
        <v>176</v>
      </c>
    </row>
    <row r="14" customFormat="false" ht="15" hidden="false" customHeight="false" outlineLevel="0" collapsed="false">
      <c r="A14" s="6" t="s">
        <v>44</v>
      </c>
      <c r="B14" s="6" t="n">
        <f aca="false">SUM(B2:B13)</f>
        <v>1716</v>
      </c>
    </row>
    <row r="15" customFormat="false" ht="15" hidden="false" customHeight="false" outlineLevel="0" collapsed="false">
      <c r="A15" s="6" t="s">
        <v>31</v>
      </c>
      <c r="B15" s="3" t="n">
        <f aca="false">AVERAGE(B2:B13)</f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61</v>
      </c>
      <c r="D1" s="2" t="s">
        <v>62</v>
      </c>
      <c r="E1" s="2" t="s">
        <v>63</v>
      </c>
    </row>
    <row r="2" customFormat="false" ht="15" hidden="false" customHeight="false" outlineLevel="0" collapsed="false">
      <c r="A2" s="3" t="s">
        <v>49</v>
      </c>
      <c r="B2" s="9" t="n">
        <v>120</v>
      </c>
      <c r="C2" s="3" t="n">
        <f aca="false">AVERAGE($B$2:$B$13)</f>
        <v>143</v>
      </c>
      <c r="D2" s="3" t="n">
        <f aca="false">B2-C2</f>
        <v>-23</v>
      </c>
      <c r="E2" s="3" t="n">
        <f aca="false">D2^2</f>
        <v>529</v>
      </c>
    </row>
    <row r="3" customFormat="false" ht="15" hidden="false" customHeight="false" outlineLevel="0" collapsed="false">
      <c r="A3" s="3" t="s">
        <v>50</v>
      </c>
      <c r="B3" s="9" t="n">
        <v>150</v>
      </c>
      <c r="C3" s="3" t="n">
        <f aca="false">AVERAGE($B$2:$B$13)</f>
        <v>143</v>
      </c>
      <c r="D3" s="3" t="n">
        <f aca="false">B3-C3</f>
        <v>7</v>
      </c>
      <c r="E3" s="3" t="n">
        <f aca="false">D3^2</f>
        <v>49</v>
      </c>
    </row>
    <row r="4" customFormat="false" ht="15" hidden="false" customHeight="false" outlineLevel="0" collapsed="false">
      <c r="A4" s="3" t="s">
        <v>51</v>
      </c>
      <c r="B4" s="9" t="n">
        <v>130</v>
      </c>
      <c r="C4" s="3" t="n">
        <f aca="false">AVERAGE($B$2:$B$13)</f>
        <v>143</v>
      </c>
      <c r="D4" s="3" t="n">
        <f aca="false">B4-C4</f>
        <v>-13</v>
      </c>
      <c r="E4" s="3" t="n">
        <f aca="false">D4^2</f>
        <v>169</v>
      </c>
    </row>
    <row r="5" customFormat="false" ht="15" hidden="false" customHeight="false" outlineLevel="0" collapsed="false">
      <c r="A5" s="3" t="s">
        <v>52</v>
      </c>
      <c r="B5" s="9" t="n">
        <v>160</v>
      </c>
      <c r="C5" s="3" t="n">
        <f aca="false">AVERAGE($B$2:$B$13)</f>
        <v>143</v>
      </c>
      <c r="D5" s="3" t="n">
        <f aca="false">B5-C5</f>
        <v>17</v>
      </c>
      <c r="E5" s="3" t="n">
        <f aca="false">D5^2</f>
        <v>289</v>
      </c>
    </row>
    <row r="6" customFormat="false" ht="15" hidden="false" customHeight="false" outlineLevel="0" collapsed="false">
      <c r="A6" s="3" t="s">
        <v>53</v>
      </c>
      <c r="B6" s="9" t="n">
        <v>140</v>
      </c>
      <c r="C6" s="3" t="n">
        <f aca="false">AVERAGE($B$2:$B$13)</f>
        <v>143</v>
      </c>
      <c r="D6" s="3" t="n">
        <f aca="false">B6-C6</f>
        <v>-3</v>
      </c>
      <c r="E6" s="3" t="n">
        <f aca="false">D6^2</f>
        <v>9</v>
      </c>
    </row>
    <row r="7" customFormat="false" ht="15" hidden="false" customHeight="false" outlineLevel="0" collapsed="false">
      <c r="A7" s="3" t="s">
        <v>54</v>
      </c>
      <c r="B7" s="9" t="n">
        <v>110</v>
      </c>
      <c r="C7" s="3" t="n">
        <f aca="false">AVERAGE($B$2:$B$13)</f>
        <v>143</v>
      </c>
      <c r="D7" s="3" t="n">
        <f aca="false">B7-C7</f>
        <v>-33</v>
      </c>
      <c r="E7" s="3" t="n">
        <f aca="false">D7^2</f>
        <v>1089</v>
      </c>
    </row>
    <row r="8" customFormat="false" ht="15" hidden="false" customHeight="false" outlineLevel="0" collapsed="false">
      <c r="A8" s="3" t="s">
        <v>55</v>
      </c>
      <c r="B8" s="9" t="n">
        <v>170</v>
      </c>
      <c r="C8" s="3" t="n">
        <f aca="false">AVERAGE($B$2:$B$13)</f>
        <v>143</v>
      </c>
      <c r="D8" s="3" t="n">
        <f aca="false">B8-C8</f>
        <v>27</v>
      </c>
      <c r="E8" s="3" t="n">
        <f aca="false">D8^2</f>
        <v>729</v>
      </c>
    </row>
    <row r="9" customFormat="false" ht="15" hidden="false" customHeight="false" outlineLevel="0" collapsed="false">
      <c r="A9" s="3" t="s">
        <v>56</v>
      </c>
      <c r="B9" s="9" t="n">
        <v>125</v>
      </c>
      <c r="C9" s="3" t="n">
        <f aca="false">AVERAGE($B$2:$B$13)</f>
        <v>143</v>
      </c>
      <c r="D9" s="3" t="n">
        <f aca="false">B9-C9</f>
        <v>-18</v>
      </c>
      <c r="E9" s="3" t="n">
        <f aca="false">D9^2</f>
        <v>324</v>
      </c>
    </row>
    <row r="10" customFormat="false" ht="15" hidden="false" customHeight="false" outlineLevel="0" collapsed="false">
      <c r="A10" s="3" t="s">
        <v>57</v>
      </c>
      <c r="B10" s="9" t="n">
        <v>145</v>
      </c>
      <c r="C10" s="3" t="n">
        <f aca="false">AVERAGE($B$2:$B$13)</f>
        <v>143</v>
      </c>
      <c r="D10" s="3" t="n">
        <f aca="false">B10-C10</f>
        <v>2</v>
      </c>
      <c r="E10" s="3" t="n">
        <f aca="false">D10^2</f>
        <v>4</v>
      </c>
    </row>
    <row r="11" customFormat="false" ht="15" hidden="false" customHeight="false" outlineLevel="0" collapsed="false">
      <c r="A11" s="3" t="s">
        <v>58</v>
      </c>
      <c r="B11" s="9" t="n">
        <v>155</v>
      </c>
      <c r="C11" s="3" t="n">
        <f aca="false">AVERAGE($B$2:$B$13)</f>
        <v>143</v>
      </c>
      <c r="D11" s="3" t="n">
        <f aca="false">B11-C11</f>
        <v>12</v>
      </c>
      <c r="E11" s="3" t="n">
        <f aca="false">D11^2</f>
        <v>144</v>
      </c>
    </row>
    <row r="12" customFormat="false" ht="15" hidden="false" customHeight="false" outlineLevel="0" collapsed="false">
      <c r="A12" s="3" t="s">
        <v>59</v>
      </c>
      <c r="B12" s="9" t="n">
        <v>135</v>
      </c>
      <c r="C12" s="3" t="n">
        <f aca="false">AVERAGE($B$2:$B$13)</f>
        <v>143</v>
      </c>
      <c r="D12" s="3" t="n">
        <f aca="false">B12-C12</f>
        <v>-8</v>
      </c>
      <c r="E12" s="3" t="n">
        <f aca="false">D12^2</f>
        <v>64</v>
      </c>
    </row>
    <row r="13" customFormat="false" ht="15" hidden="false" customHeight="false" outlineLevel="0" collapsed="false">
      <c r="A13" s="3" t="s">
        <v>60</v>
      </c>
      <c r="B13" s="9" t="n">
        <v>176</v>
      </c>
      <c r="C13" s="3" t="n">
        <f aca="false">AVERAGE($B$2:$B$13)</f>
        <v>143</v>
      </c>
      <c r="D13" s="3" t="n">
        <f aca="false">B13-C13</f>
        <v>33</v>
      </c>
      <c r="E13" s="3" t="n">
        <f aca="false">D13^2</f>
        <v>1089</v>
      </c>
    </row>
    <row r="14" customFormat="false" ht="15" hidden="false" customHeight="false" outlineLevel="0" collapsed="false">
      <c r="A14" s="6" t="s">
        <v>64</v>
      </c>
      <c r="B14" s="3" t="n">
        <f aca="false">SUM(B2:B13)</f>
        <v>1716</v>
      </c>
      <c r="C14" s="3"/>
      <c r="D14" s="3" t="n">
        <f aca="false">SUM(D2:D13)</f>
        <v>0</v>
      </c>
      <c r="E14" s="3" t="n">
        <f aca="false">SUM(E2:E13)</f>
        <v>4488</v>
      </c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5" hidden="false" customHeight="false" outlineLevel="0" collapsed="false">
      <c r="A16" s="6" t="s">
        <v>65</v>
      </c>
      <c r="B16" s="3"/>
      <c r="C16" s="3"/>
      <c r="D16" s="3"/>
      <c r="E16" s="3" t="n">
        <f aca="false">E14/COUNT(B2:B13)</f>
        <v>374</v>
      </c>
    </row>
    <row r="17" customFormat="false" ht="15" hidden="false" customHeight="false" outlineLevel="0" collapsed="false">
      <c r="A17" s="6" t="s">
        <v>66</v>
      </c>
      <c r="B17" s="3"/>
      <c r="C17" s="3"/>
      <c r="D17" s="3"/>
      <c r="E17" s="3" t="n">
        <f aca="false">SQRT(E16)</f>
        <v>19.3390796058137</v>
      </c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4" t="s">
        <v>67</v>
      </c>
      <c r="B19" s="3"/>
      <c r="C19" s="3"/>
      <c r="D19" s="3"/>
      <c r="E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2" t="s">
        <v>68</v>
      </c>
      <c r="B1" s="2" t="s">
        <v>69</v>
      </c>
      <c r="C1" s="2" t="s">
        <v>70</v>
      </c>
    </row>
    <row r="2" customFormat="false" ht="15" hidden="false" customHeight="false" outlineLevel="0" collapsed="false">
      <c r="A2" s="3" t="n">
        <v>1</v>
      </c>
      <c r="B2" s="9" t="n">
        <v>37</v>
      </c>
      <c r="C2" s="9" t="n">
        <v>25</v>
      </c>
    </row>
    <row r="3" customFormat="false" ht="15" hidden="false" customHeight="false" outlineLevel="0" collapsed="false">
      <c r="A3" s="3" t="n">
        <v>2</v>
      </c>
      <c r="B3" s="9" t="n">
        <v>38</v>
      </c>
      <c r="C3" s="9" t="n">
        <v>28</v>
      </c>
    </row>
    <row r="4" customFormat="false" ht="15" hidden="false" customHeight="false" outlineLevel="0" collapsed="false">
      <c r="A4" s="3" t="n">
        <v>3</v>
      </c>
      <c r="B4" s="9" t="n">
        <v>38</v>
      </c>
      <c r="C4" s="9" t="n">
        <v>30</v>
      </c>
    </row>
    <row r="5" customFormat="false" ht="15" hidden="false" customHeight="false" outlineLevel="0" collapsed="false">
      <c r="A5" s="3" t="n">
        <v>4</v>
      </c>
      <c r="B5" s="9" t="n">
        <v>39</v>
      </c>
      <c r="C5" s="9" t="n">
        <v>31</v>
      </c>
    </row>
    <row r="6" customFormat="false" ht="15" hidden="false" customHeight="false" outlineLevel="0" collapsed="false">
      <c r="A6" s="3" t="n">
        <v>5</v>
      </c>
      <c r="B6" s="9" t="n">
        <v>39</v>
      </c>
      <c r="C6" s="9" t="n">
        <v>33</v>
      </c>
    </row>
    <row r="7" customFormat="false" ht="15" hidden="false" customHeight="false" outlineLevel="0" collapsed="false">
      <c r="A7" s="3" t="n">
        <v>6</v>
      </c>
      <c r="B7" s="9" t="n">
        <v>39</v>
      </c>
      <c r="C7" s="9" t="n">
        <v>35</v>
      </c>
    </row>
    <row r="8" customFormat="false" ht="15" hidden="false" customHeight="false" outlineLevel="0" collapsed="false">
      <c r="A8" s="3" t="n">
        <v>7</v>
      </c>
      <c r="B8" s="9" t="n">
        <v>40</v>
      </c>
      <c r="C8" s="9" t="n">
        <v>38</v>
      </c>
    </row>
    <row r="9" customFormat="false" ht="15" hidden="false" customHeight="false" outlineLevel="0" collapsed="false">
      <c r="A9" s="3" t="n">
        <v>8</v>
      </c>
      <c r="B9" s="9" t="n">
        <v>40</v>
      </c>
      <c r="C9" s="9" t="n">
        <v>40</v>
      </c>
    </row>
    <row r="10" customFormat="false" ht="15" hidden="false" customHeight="false" outlineLevel="0" collapsed="false">
      <c r="A10" s="3" t="n">
        <v>9</v>
      </c>
      <c r="B10" s="9" t="n">
        <v>40</v>
      </c>
      <c r="C10" s="9" t="n">
        <v>41</v>
      </c>
    </row>
    <row r="11" customFormat="false" ht="15" hidden="false" customHeight="false" outlineLevel="0" collapsed="false">
      <c r="A11" s="3" t="n">
        <v>10</v>
      </c>
      <c r="B11" s="9" t="n">
        <v>40</v>
      </c>
      <c r="C11" s="9" t="n">
        <v>43</v>
      </c>
    </row>
    <row r="12" customFormat="false" ht="15" hidden="false" customHeight="false" outlineLevel="0" collapsed="false">
      <c r="A12" s="3" t="n">
        <v>11</v>
      </c>
      <c r="B12" s="9" t="n">
        <v>41</v>
      </c>
      <c r="C12" s="9" t="n">
        <v>45</v>
      </c>
    </row>
    <row r="13" customFormat="false" ht="15" hidden="false" customHeight="false" outlineLevel="0" collapsed="false">
      <c r="A13" s="3" t="n">
        <v>12</v>
      </c>
      <c r="B13" s="9" t="n">
        <v>41</v>
      </c>
      <c r="C13" s="9" t="n">
        <v>46</v>
      </c>
    </row>
    <row r="14" customFormat="false" ht="15" hidden="false" customHeight="false" outlineLevel="0" collapsed="false">
      <c r="A14" s="3" t="n">
        <v>13</v>
      </c>
      <c r="B14" s="9" t="n">
        <v>41</v>
      </c>
      <c r="C14" s="9" t="n">
        <v>48</v>
      </c>
    </row>
    <row r="15" customFormat="false" ht="15" hidden="false" customHeight="false" outlineLevel="0" collapsed="false">
      <c r="A15" s="3" t="n">
        <v>14</v>
      </c>
      <c r="B15" s="9" t="n">
        <v>42</v>
      </c>
      <c r="C15" s="9" t="n">
        <v>50</v>
      </c>
    </row>
    <row r="16" customFormat="false" ht="15" hidden="false" customHeight="false" outlineLevel="0" collapsed="false">
      <c r="A16" s="3" t="n">
        <v>15</v>
      </c>
      <c r="B16" s="9" t="n">
        <v>42</v>
      </c>
      <c r="C16" s="9" t="n">
        <v>52</v>
      </c>
    </row>
    <row r="17" customFormat="false" ht="15" hidden="false" customHeight="false" outlineLevel="0" collapsed="false">
      <c r="A17" s="3" t="n">
        <v>16</v>
      </c>
      <c r="B17" s="9" t="n">
        <v>43</v>
      </c>
      <c r="C17" s="9" t="n">
        <v>55</v>
      </c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6" t="s">
        <v>71</v>
      </c>
      <c r="B19" s="3" t="n">
        <f aca="false">AVERAGE(B2:B17)</f>
        <v>40</v>
      </c>
      <c r="C19" s="3" t="n">
        <f aca="false">AVERAGE(C2:C17)</f>
        <v>40</v>
      </c>
    </row>
    <row r="20" customFormat="false" ht="15" hidden="false" customHeight="false" outlineLevel="0" collapsed="false">
      <c r="A20" s="6" t="s">
        <v>72</v>
      </c>
      <c r="B20" s="3" t="n">
        <f aca="false">MIN(B2:B17)</f>
        <v>37</v>
      </c>
      <c r="C20" s="3" t="n">
        <f aca="false">MIN(C2:C17)</f>
        <v>25</v>
      </c>
    </row>
    <row r="21" customFormat="false" ht="15" hidden="false" customHeight="false" outlineLevel="0" collapsed="false">
      <c r="A21" s="6" t="s">
        <v>73</v>
      </c>
      <c r="B21" s="3" t="n">
        <f aca="false">MAX(B2:B17)</f>
        <v>43</v>
      </c>
      <c r="C21" s="3" t="n">
        <f aca="false">MAX(C2:C17)</f>
        <v>55</v>
      </c>
    </row>
    <row r="22" customFormat="false" ht="15" hidden="false" customHeight="false" outlineLevel="0" collapsed="false">
      <c r="A22" s="6" t="s">
        <v>74</v>
      </c>
      <c r="B22" s="3" t="n">
        <f aca="false">B21-B20</f>
        <v>6</v>
      </c>
      <c r="C22" s="3" t="n">
        <f aca="false">C21-C20</f>
        <v>30</v>
      </c>
    </row>
    <row r="23" customFormat="false" ht="15" hidden="false" customHeight="false" outlineLevel="0" collapsed="false">
      <c r="A23" s="6" t="s">
        <v>75</v>
      </c>
      <c r="B23" s="3" t="n">
        <f aca="false">STDEVP(B2:B17)</f>
        <v>1.58113883008419</v>
      </c>
      <c r="C23" s="3" t="n">
        <f aca="false">STDEVP(C2:C17)</f>
        <v>8.77496438739212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2" t="s">
        <v>76</v>
      </c>
      <c r="B1" s="2" t="s">
        <v>77</v>
      </c>
      <c r="C1" s="2" t="s">
        <v>78</v>
      </c>
    </row>
    <row r="2" customFormat="false" ht="15" hidden="false" customHeight="false" outlineLevel="0" collapsed="false">
      <c r="A2" s="9" t="n">
        <v>12</v>
      </c>
      <c r="B2" s="3" t="n">
        <f aca="false">A2-AVERAGE($A$2:$A$6)</f>
        <v>-5</v>
      </c>
      <c r="C2" s="3" t="n">
        <f aca="false">B2^2</f>
        <v>25</v>
      </c>
    </row>
    <row r="3" customFormat="false" ht="15" hidden="false" customHeight="false" outlineLevel="0" collapsed="false">
      <c r="A3" s="9" t="n">
        <v>20</v>
      </c>
      <c r="B3" s="3" t="n">
        <f aca="false">A3-AVERAGE($A$2:$A$6)</f>
        <v>3</v>
      </c>
      <c r="C3" s="3" t="n">
        <f aca="false">B3^2</f>
        <v>9</v>
      </c>
    </row>
    <row r="4" customFormat="false" ht="15" hidden="false" customHeight="false" outlineLevel="0" collapsed="false">
      <c r="A4" s="9" t="n">
        <v>16</v>
      </c>
      <c r="B4" s="3" t="n">
        <f aca="false">A4-AVERAGE($A$2:$A$6)</f>
        <v>-1</v>
      </c>
      <c r="C4" s="3" t="n">
        <f aca="false">B4^2</f>
        <v>1</v>
      </c>
    </row>
    <row r="5" customFormat="false" ht="15" hidden="false" customHeight="false" outlineLevel="0" collapsed="false">
      <c r="A5" s="9" t="n">
        <v>18</v>
      </c>
      <c r="B5" s="3" t="n">
        <f aca="false">A5-AVERAGE($A$2:$A$6)</f>
        <v>1</v>
      </c>
      <c r="C5" s="3" t="n">
        <f aca="false">B5^2</f>
        <v>1</v>
      </c>
    </row>
    <row r="6" customFormat="false" ht="15" hidden="false" customHeight="false" outlineLevel="0" collapsed="false">
      <c r="A6" s="9" t="n">
        <v>19</v>
      </c>
      <c r="B6" s="3" t="n">
        <f aca="false">A6-AVERAGE($A$2:$A$6)</f>
        <v>2</v>
      </c>
      <c r="C6" s="3" t="n">
        <f aca="false">B6^2</f>
        <v>4</v>
      </c>
    </row>
    <row r="7" customFormat="false" ht="15" hidden="false" customHeight="false" outlineLevel="0" collapsed="false">
      <c r="A7" s="3"/>
      <c r="B7" s="3"/>
      <c r="C7" s="3"/>
    </row>
    <row r="8" customFormat="false" ht="15" hidden="false" customHeight="false" outlineLevel="0" collapsed="false">
      <c r="A8" s="6" t="s">
        <v>35</v>
      </c>
      <c r="B8" s="3"/>
      <c r="C8" s="3" t="n">
        <f aca="false">AVERAGE(A2:A6)</f>
        <v>17</v>
      </c>
    </row>
    <row r="9" customFormat="false" ht="15" hidden="false" customHeight="false" outlineLevel="0" collapsed="false">
      <c r="A9" s="6" t="s">
        <v>79</v>
      </c>
      <c r="B9" s="3"/>
      <c r="C9" s="3" t="n">
        <f aca="false">SUM(C2:C6)</f>
        <v>40</v>
      </c>
    </row>
    <row r="10" customFormat="false" ht="15" hidden="false" customHeight="false" outlineLevel="0" collapsed="false">
      <c r="A10" s="6" t="s">
        <v>80</v>
      </c>
      <c r="B10" s="3"/>
      <c r="C10" s="3" t="n">
        <f aca="false">C9/(COUNT(A2:A6)-1)</f>
        <v>10</v>
      </c>
    </row>
    <row r="11" customFormat="false" ht="15" hidden="false" customHeight="false" outlineLevel="0" collapsed="false">
      <c r="A11" s="6" t="s">
        <v>81</v>
      </c>
      <c r="B11" s="3"/>
      <c r="C11" s="3" t="n">
        <f aca="false">SQRT(C10)</f>
        <v>3.16227766016838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2" t="s">
        <v>82</v>
      </c>
      <c r="B1" s="2" t="s">
        <v>83</v>
      </c>
      <c r="C1" s="2"/>
      <c r="D1" s="2" t="s">
        <v>84</v>
      </c>
    </row>
    <row r="2" customFormat="false" ht="15" hidden="false" customHeight="false" outlineLevel="0" collapsed="false">
      <c r="A2" s="3" t="s">
        <v>85</v>
      </c>
      <c r="B2" s="9" t="n">
        <v>205</v>
      </c>
      <c r="C2" s="3"/>
      <c r="D2" s="3" t="n">
        <v>146</v>
      </c>
    </row>
    <row r="3" customFormat="false" ht="15" hidden="false" customHeight="false" outlineLevel="0" collapsed="false">
      <c r="A3" s="3" t="s">
        <v>86</v>
      </c>
      <c r="B3" s="9" t="n">
        <v>175</v>
      </c>
      <c r="C3" s="3"/>
      <c r="D3" s="3" t="n">
        <v>147</v>
      </c>
    </row>
    <row r="4" customFormat="false" ht="15" hidden="false" customHeight="false" outlineLevel="0" collapsed="false">
      <c r="A4" s="3" t="s">
        <v>87</v>
      </c>
      <c r="B4" s="9" t="n">
        <v>172</v>
      </c>
      <c r="C4" s="3"/>
      <c r="D4" s="3" t="n">
        <v>163</v>
      </c>
    </row>
    <row r="5" customFormat="false" ht="15" hidden="false" customHeight="false" outlineLevel="0" collapsed="false">
      <c r="A5" s="3" t="s">
        <v>88</v>
      </c>
      <c r="B5" s="9" t="n">
        <v>163</v>
      </c>
      <c r="C5" s="3"/>
      <c r="D5" s="3" t="n">
        <v>172</v>
      </c>
    </row>
    <row r="6" customFormat="false" ht="15" hidden="false" customHeight="false" outlineLevel="0" collapsed="false">
      <c r="A6" s="3" t="s">
        <v>89</v>
      </c>
      <c r="B6" s="9" t="n">
        <v>209</v>
      </c>
      <c r="C6" s="3"/>
      <c r="D6" s="3" t="n">
        <v>175</v>
      </c>
    </row>
    <row r="7" customFormat="false" ht="15" hidden="false" customHeight="false" outlineLevel="0" collapsed="false">
      <c r="A7" s="3" t="s">
        <v>90</v>
      </c>
      <c r="B7" s="9" t="n">
        <v>204</v>
      </c>
      <c r="C7" s="3"/>
      <c r="D7" s="3" t="n">
        <v>178</v>
      </c>
    </row>
    <row r="8" customFormat="false" ht="15" hidden="false" customHeight="false" outlineLevel="0" collapsed="false">
      <c r="A8" s="3" t="s">
        <v>91</v>
      </c>
      <c r="B8" s="9" t="n">
        <v>220</v>
      </c>
      <c r="C8" s="3"/>
      <c r="D8" s="3" t="n">
        <v>194</v>
      </c>
    </row>
    <row r="9" customFormat="false" ht="15" hidden="false" customHeight="false" outlineLevel="0" collapsed="false">
      <c r="A9" s="3" t="s">
        <v>92</v>
      </c>
      <c r="B9" s="9" t="n">
        <v>178</v>
      </c>
      <c r="C9" s="3"/>
      <c r="D9" s="3" t="n">
        <v>204</v>
      </c>
    </row>
    <row r="10" customFormat="false" ht="15" hidden="false" customHeight="false" outlineLevel="0" collapsed="false">
      <c r="A10" s="3" t="s">
        <v>93</v>
      </c>
      <c r="B10" s="9" t="n">
        <v>228</v>
      </c>
      <c r="C10" s="3"/>
      <c r="D10" s="3" t="n">
        <v>205</v>
      </c>
    </row>
    <row r="11" customFormat="false" ht="15" hidden="false" customHeight="false" outlineLevel="0" collapsed="false">
      <c r="A11" s="3" t="s">
        <v>94</v>
      </c>
      <c r="B11" s="9" t="n">
        <v>194</v>
      </c>
      <c r="C11" s="3"/>
      <c r="D11" s="3" t="n">
        <v>205</v>
      </c>
    </row>
    <row r="12" customFormat="false" ht="15" hidden="false" customHeight="false" outlineLevel="0" collapsed="false">
      <c r="A12" s="3" t="s">
        <v>95</v>
      </c>
      <c r="B12" s="9" t="n">
        <v>231</v>
      </c>
      <c r="C12" s="3"/>
      <c r="D12" s="3" t="n">
        <v>209</v>
      </c>
    </row>
    <row r="13" customFormat="false" ht="15" hidden="false" customHeight="false" outlineLevel="0" collapsed="false">
      <c r="A13" s="3" t="s">
        <v>96</v>
      </c>
      <c r="B13" s="9" t="n">
        <v>205</v>
      </c>
      <c r="C13" s="3"/>
      <c r="D13" s="3" t="n">
        <v>220</v>
      </c>
    </row>
    <row r="14" customFormat="false" ht="15" hidden="false" customHeight="false" outlineLevel="0" collapsed="false">
      <c r="A14" s="3" t="s">
        <v>97</v>
      </c>
      <c r="B14" s="9" t="n">
        <v>240</v>
      </c>
      <c r="C14" s="3"/>
      <c r="D14" s="3" t="n">
        <v>228</v>
      </c>
    </row>
    <row r="15" customFormat="false" ht="15" hidden="false" customHeight="false" outlineLevel="0" collapsed="false">
      <c r="A15" s="3" t="s">
        <v>98</v>
      </c>
      <c r="B15" s="9" t="n">
        <v>147</v>
      </c>
      <c r="C15" s="3"/>
      <c r="D15" s="3" t="n">
        <v>231</v>
      </c>
    </row>
    <row r="16" customFormat="false" ht="15" hidden="false" customHeight="false" outlineLevel="0" collapsed="false">
      <c r="A16" s="3" t="s">
        <v>99</v>
      </c>
      <c r="B16" s="9" t="n">
        <v>146</v>
      </c>
      <c r="C16" s="3"/>
      <c r="D16" s="3" t="n">
        <v>240</v>
      </c>
    </row>
    <row r="18" customFormat="false" ht="15" hidden="false" customHeight="false" outlineLevel="0" collapsed="false">
      <c r="A18" s="6" t="s">
        <v>72</v>
      </c>
      <c r="B18" s="3" t="n">
        <f aca="false">MIN(B2:B16)</f>
        <v>146</v>
      </c>
    </row>
    <row r="19" customFormat="false" ht="15" hidden="false" customHeight="false" outlineLevel="0" collapsed="false">
      <c r="A19" s="6" t="s">
        <v>100</v>
      </c>
      <c r="B19" s="3" t="n">
        <f aca="false">_xlfn.QUARTILE.EXC(B2:B16,1)</f>
        <v>172</v>
      </c>
    </row>
    <row r="20" customFormat="false" ht="15" hidden="false" customHeight="false" outlineLevel="0" collapsed="false">
      <c r="A20" s="6" t="s">
        <v>101</v>
      </c>
      <c r="B20" s="3" t="n">
        <f aca="false">_xlfn.QUARTILE.EXC(B2:B16,2)</f>
        <v>204</v>
      </c>
    </row>
    <row r="21" customFormat="false" ht="15" hidden="false" customHeight="false" outlineLevel="0" collapsed="false">
      <c r="A21" s="6" t="s">
        <v>102</v>
      </c>
      <c r="B21" s="3" t="n">
        <f aca="false">_xlfn.QUARTILE.EXC(B2:B16,3)</f>
        <v>220</v>
      </c>
    </row>
    <row r="22" customFormat="false" ht="15" hidden="false" customHeight="false" outlineLevel="0" collapsed="false">
      <c r="A22" s="6" t="s">
        <v>73</v>
      </c>
      <c r="B22" s="3" t="n">
        <f aca="false">MAX(B2:B16)</f>
        <v>240</v>
      </c>
    </row>
    <row r="23" customFormat="false" ht="15" hidden="false" customHeight="false" outlineLevel="0" collapsed="false">
      <c r="A23" s="6" t="s">
        <v>103</v>
      </c>
      <c r="B23" s="3" t="n">
        <f aca="false">_xlfn.PERCENTILE.EXC(B2:B16,0.9)</f>
        <v>234.6</v>
      </c>
    </row>
    <row r="25" customFormat="false" ht="15" hidden="false" customHeight="false" outlineLevel="0" collapsed="false">
      <c r="A25" s="4" t="s">
        <v>104</v>
      </c>
    </row>
    <row r="26" customFormat="false" ht="15" hidden="false" customHeight="false" outlineLevel="0" collapsed="false">
      <c r="A26" s="4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2026-08-22T09:20:20Z</dcterms:created>
  <dc:creator>openpyxl</dc:creator>
  <dc:description/>
  <dc:language>en-US</dc:language>
  <cp:lastModifiedBy/>
  <dcterms:modified xsi:type="dcterms:W3CDTF">2026-08-22T09:20:20Z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