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ffee Shop" sheetId="2" state="visible" r:id="rId2"/>
    <sheet xmlns:r="http://schemas.openxmlformats.org/officeDocument/2006/relationships" name="Binomial" sheetId="3" state="visible" r:id="rId3"/>
    <sheet xmlns:r="http://schemas.openxmlformats.org/officeDocument/2006/relationships" name="Hypergeometric" sheetId="4" state="visible" r:id="rId4"/>
    <sheet xmlns:r="http://schemas.openxmlformats.org/officeDocument/2006/relationships" name="Poisson" sheetId="5" state="visible" r:id="rId5"/>
    <sheet xmlns:r="http://schemas.openxmlformats.org/officeDocument/2006/relationships" name="Distribution 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6">
    <font>
      <name val="Calibri"/>
      <family val="2"/>
      <color theme="1"/>
      <sz val="11"/>
      <scheme val="minor"/>
    </font>
    <font>
      <name val="Arial"/>
      <b val="1"/>
      <color rgb="000B5F86"/>
      <sz val="13"/>
    </font>
    <font>
      <name val="Arial"/>
      <b val="1"/>
      <color rgb="00FFFFFF"/>
    </font>
    <font>
      <name val="Arial"/>
    </font>
    <font>
      <name val="Arial"/>
      <i val="1"/>
      <color rgb="00748995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8DC3"/>
      </patternFill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2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20" customWidth="1" min="3" max="3"/>
  </cols>
  <sheetData>
    <row r="1">
      <c r="A1" s="1" t="inlineStr">
        <is>
          <t>QUA 107 · Chapter 6 · Discrete Probability Distributions · data workbook</t>
        </is>
      </c>
    </row>
    <row r="2">
      <c r="A2" t="inlineStr"/>
    </row>
    <row r="3">
      <c r="A3" s="2" t="inlineStr">
        <is>
          <t>Sheet</t>
        </is>
      </c>
      <c r="B3" s="2" t="inlineStr">
        <is>
          <t>Contents</t>
        </is>
      </c>
      <c r="C3" s="2" t="inlineStr">
        <is>
          <t>Used on slides</t>
        </is>
      </c>
    </row>
    <row r="4">
      <c r="A4" s="3" t="inlineStr">
        <is>
          <t>Coffee Shop</t>
        </is>
      </c>
      <c r="B4" s="3" t="inlineStr">
        <is>
          <t>The coffee-shop distribution with the full mean/variance table, plus the SUMPRODUCT one-cell versions</t>
        </is>
      </c>
      <c r="C4" s="3" t="inlineStr">
        <is>
          <t>Slides 8 to 12</t>
        </is>
      </c>
    </row>
    <row r="5">
      <c r="A5" s="3" t="inlineStr">
        <is>
          <t>Binomial</t>
        </is>
      </c>
      <c r="B5" s="3" t="inlineStr">
        <is>
          <t>The Almarai quality test: BINOM.DIST exact and cumulative, the whole distribution and P(X &gt;= 2) both ways</t>
        </is>
      </c>
      <c r="C5" s="3" t="inlineStr">
        <is>
          <t>Slides 16 to 21</t>
        </is>
      </c>
    </row>
    <row r="6">
      <c r="A6" s="3" t="inlineStr">
        <is>
          <t>Hypergeometric</t>
        </is>
      </c>
      <c r="B6" s="3" t="inlineStr">
        <is>
          <t>The SABIC project team: HYPGEOM.DIST, the whole distribution and the unbalanced-team risk P(X &gt;= 4)</t>
        </is>
      </c>
      <c r="C6" s="3" t="inlineStr">
        <is>
          <t>Slides 25 to 28</t>
        </is>
      </c>
    </row>
    <row r="7">
      <c r="A7" s="3" t="inlineStr">
        <is>
          <t>Poisson</t>
        </is>
      </c>
      <c r="B7" s="3" t="inlineStr">
        <is>
          <t>The call centre: POISSON.DIST exact and cumulative, the whole distribution and the overwhelmed-desk risk P(X &gt; 3)</t>
        </is>
      </c>
      <c r="C7" s="3" t="inlineStr">
        <is>
          <t>Slides 33 to 36</t>
        </is>
      </c>
    </row>
    <row r="8">
      <c r="A8" s="3" t="inlineStr">
        <is>
          <t>Distribution Template</t>
        </is>
      </c>
      <c r="B8" s="3" t="inlineStr">
        <is>
          <t>A blank general discrete distribution: type your own values and probabilities and every number recalculates</t>
        </is>
      </c>
      <c r="C8" s="3" t="inlineStr">
        <is>
          <t>Your own problems</t>
        </is>
      </c>
    </row>
    <row r="9">
      <c r="A9" t="inlineStr"/>
    </row>
    <row r="10">
      <c r="A10" s="4" t="inlineStr">
        <is>
          <t>Yellow cells are data you may change; the formulas recalculate.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6" customWidth="1" min="5" max="5"/>
    <col width="4" customWidth="1" min="6" max="6"/>
    <col width="46" customWidth="1" min="7" max="7"/>
    <col width="12" customWidth="1" min="8" max="8"/>
  </cols>
  <sheetData>
    <row r="1">
      <c r="A1" s="1" t="inlineStr">
        <is>
          <t>The coffee shop near KSU: coffees bought in one visit</t>
        </is>
      </c>
    </row>
    <row r="3">
      <c r="A3" s="2" t="inlineStr">
        <is>
          <t>x</t>
        </is>
      </c>
      <c r="B3" s="2" t="inlineStr">
        <is>
          <t>P(x)</t>
        </is>
      </c>
      <c r="C3" s="2" t="inlineStr">
        <is>
          <t>x*P(x)</t>
        </is>
      </c>
      <c r="D3" s="2" t="inlineStr">
        <is>
          <t>(x-mu)^2</t>
        </is>
      </c>
      <c r="E3" s="2" t="inlineStr">
        <is>
          <t>P(x)*(x-mu)^2</t>
        </is>
      </c>
    </row>
    <row r="4">
      <c r="A4" s="5" t="n">
        <v>0</v>
      </c>
      <c r="B4" s="5" t="n">
        <v>0.1</v>
      </c>
      <c r="C4" s="3">
        <f>A4*B4</f>
        <v/>
      </c>
      <c r="D4" s="3">
        <f>(A4-C$8)^2</f>
        <v/>
      </c>
      <c r="E4" s="3">
        <f>B4*D4</f>
        <v/>
      </c>
    </row>
    <row r="5">
      <c r="A5" s="5" t="n">
        <v>1</v>
      </c>
      <c r="B5" s="5" t="n">
        <v>0.5</v>
      </c>
      <c r="C5" s="3">
        <f>A5*B5</f>
        <v/>
      </c>
      <c r="D5" s="3">
        <f>(A5-C$8)^2</f>
        <v/>
      </c>
      <c r="E5" s="3">
        <f>B5*D5</f>
        <v/>
      </c>
    </row>
    <row r="6">
      <c r="A6" s="5" t="n">
        <v>2</v>
      </c>
      <c r="B6" s="5" t="n">
        <v>0.3</v>
      </c>
      <c r="C6" s="3">
        <f>A6*B6</f>
        <v/>
      </c>
      <c r="D6" s="3">
        <f>(A6-C$8)^2</f>
        <v/>
      </c>
      <c r="E6" s="3">
        <f>B6*D6</f>
        <v/>
      </c>
    </row>
    <row r="7">
      <c r="A7" s="5" t="n">
        <v>3</v>
      </c>
      <c r="B7" s="5" t="n">
        <v>0.1</v>
      </c>
      <c r="C7" s="3">
        <f>A7*B7</f>
        <v/>
      </c>
      <c r="D7" s="3">
        <f>(A7-C$8)^2</f>
        <v/>
      </c>
      <c r="E7" s="3">
        <f>B7*D7</f>
        <v/>
      </c>
    </row>
    <row r="8">
      <c r="A8" s="6" t="inlineStr">
        <is>
          <t>Total</t>
        </is>
      </c>
      <c r="B8" s="6">
        <f>SUM(B4:B7)</f>
        <v/>
      </c>
      <c r="C8" s="6">
        <f>SUM(C4:C7)</f>
        <v/>
      </c>
      <c r="E8" s="6">
        <f>SUM(E4:E7)</f>
        <v/>
      </c>
    </row>
    <row r="10">
      <c r="G10" s="6" t="inlineStr">
        <is>
          <t>Rule check: the probabilities add to</t>
        </is>
      </c>
      <c r="H10" s="7">
        <f>SUM(B4:B7)</f>
        <v/>
      </c>
    </row>
    <row r="11">
      <c r="G11" s="6" t="inlineStr">
        <is>
          <t>Mean (expected value)  mu = SUMPRODUCT(x, P(x))</t>
        </is>
      </c>
      <c r="H11" s="7">
        <f>SUMPRODUCT(A4:A7,B4:B7)</f>
        <v/>
      </c>
    </row>
    <row r="12">
      <c r="G12" s="6" t="inlineStr">
        <is>
          <t>Variance  sigma^2 = SUMPRODUCT((x-mu)^2, P(x))</t>
        </is>
      </c>
      <c r="H12" s="8">
        <f>SUMPRODUCT((A4:A7-H11)^2,B4:B7)</f>
        <v/>
      </c>
    </row>
    <row r="13">
      <c r="G13" s="6" t="inlineStr">
        <is>
          <t>Standard deviation  sigma = SQRT(variance)</t>
        </is>
      </c>
      <c r="H13" s="8">
        <f>SQRT(H12)</f>
        <v/>
      </c>
    </row>
    <row r="15">
      <c r="G15" s="4" t="inlineStr">
        <is>
          <t>Change the yellow cells and watch the mean, variance and standard deviation update.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4" customWidth="1" min="3" max="3"/>
    <col width="14" customWidth="1" min="4" max="4"/>
  </cols>
  <sheetData>
    <row r="1">
      <c r="A1" s="1" t="inlineStr">
        <is>
          <t>Almarai quality control: leaky boxes in a sample (binomial)</t>
        </is>
      </c>
    </row>
    <row r="3">
      <c r="A3" s="6" t="inlineStr">
        <is>
          <t>n</t>
        </is>
      </c>
      <c r="B3" s="5" t="n">
        <v>5</v>
      </c>
      <c r="C3" s="4" t="inlineStr">
        <is>
          <t>The number of trials (boxes in the sample).</t>
        </is>
      </c>
    </row>
    <row r="4">
      <c r="A4" s="6" t="inlineStr">
        <is>
          <t>p</t>
        </is>
      </c>
      <c r="B4" s="5" t="n">
        <v>0.1</v>
      </c>
      <c r="C4" s="4" t="inlineStr">
        <is>
          <t>The probability of a "success" (a leaky box).</t>
        </is>
      </c>
    </row>
    <row r="5">
      <c r="A5" s="6" t="inlineStr">
        <is>
          <t>k</t>
        </is>
      </c>
      <c r="B5" s="5" t="n">
        <v>2</v>
      </c>
      <c r="C5" s="4" t="inlineStr">
        <is>
          <t>The number of successes we ask about.</t>
        </is>
      </c>
    </row>
    <row r="7">
      <c r="A7" s="6" t="inlineStr">
        <is>
          <t>P(X = k)   exactly k leaks</t>
        </is>
      </c>
      <c r="D7" s="9">
        <f>_xlfn.BINOM.DIST(B5,B3,B4,FALSE)</f>
        <v/>
      </c>
    </row>
    <row r="8">
      <c r="A8" s="6" t="inlineStr">
        <is>
          <t>P(X &lt;= k-1)   fewer than k, cumulative</t>
        </is>
      </c>
      <c r="D8" s="9">
        <f>_xlfn.BINOM.DIST(B5-1,B3,B4,TRUE)</f>
        <v/>
      </c>
    </row>
    <row r="9">
      <c r="A9" s="6" t="inlineStr">
        <is>
          <t>P(X &gt;= k) = 1 - P(X &lt;= k-1)   the production-stop risk</t>
        </is>
      </c>
      <c r="D9" s="9">
        <f>1-_xlfn.BINOM.DIST(B5-1,B3,B4,TRUE)</f>
        <v/>
      </c>
    </row>
    <row r="10">
      <c r="A10" s="6" t="inlineStr">
        <is>
          <t>Mean  mu = n*p</t>
        </is>
      </c>
      <c r="D10" s="9">
        <f>B3*B4</f>
        <v/>
      </c>
    </row>
    <row r="11">
      <c r="A11" s="6" t="inlineStr">
        <is>
          <t>Variance  sigma^2 = n*p*(1-p)</t>
        </is>
      </c>
      <c r="D11" s="9">
        <f>B3*B4*(1-B4)</f>
        <v/>
      </c>
    </row>
    <row r="12">
      <c r="A12" s="6" t="inlineStr">
        <is>
          <t>Standard deviation</t>
        </is>
      </c>
      <c r="D12" s="9">
        <f>SQRT(B3*B4*(1-B4))</f>
        <v/>
      </c>
    </row>
    <row r="14">
      <c r="A14" s="6" t="inlineStr">
        <is>
          <t>The whole distribution</t>
        </is>
      </c>
    </row>
    <row r="15">
      <c r="A15" s="10" t="inlineStr">
        <is>
          <t>k</t>
        </is>
      </c>
      <c r="B15" s="10" t="inlineStr">
        <is>
          <t>P(X = k)  BINOM.DIST(k, n, p, FALSE)</t>
        </is>
      </c>
      <c r="C15" s="10" t="inlineStr">
        <is>
          <t>P(X &lt;= k)  cumulative TRUE</t>
        </is>
      </c>
    </row>
    <row r="16">
      <c r="A16" s="3" t="n">
        <v>0</v>
      </c>
      <c r="B16" s="9">
        <f>_xlfn.BINOM.DIST(A16,$B$3,$B$4,FALSE)</f>
        <v/>
      </c>
      <c r="C16" s="9">
        <f>_xlfn.BINOM.DIST(A16,$B$3,$B$4,TRUE)</f>
        <v/>
      </c>
    </row>
    <row r="17">
      <c r="A17" s="3" t="n">
        <v>1</v>
      </c>
      <c r="B17" s="9">
        <f>_xlfn.BINOM.DIST(A17,$B$3,$B$4,FALSE)</f>
        <v/>
      </c>
      <c r="C17" s="9">
        <f>_xlfn.BINOM.DIST(A17,$B$3,$B$4,TRUE)</f>
        <v/>
      </c>
    </row>
    <row r="18">
      <c r="A18" s="3" t="n">
        <v>2</v>
      </c>
      <c r="B18" s="9">
        <f>_xlfn.BINOM.DIST(A18,$B$3,$B$4,FALSE)</f>
        <v/>
      </c>
      <c r="C18" s="9">
        <f>_xlfn.BINOM.DIST(A18,$B$3,$B$4,TRUE)</f>
        <v/>
      </c>
    </row>
    <row r="19">
      <c r="A19" s="3" t="n">
        <v>3</v>
      </c>
      <c r="B19" s="9">
        <f>_xlfn.BINOM.DIST(A19,$B$3,$B$4,FALSE)</f>
        <v/>
      </c>
      <c r="C19" s="9">
        <f>_xlfn.BINOM.DIST(A19,$B$3,$B$4,TRUE)</f>
        <v/>
      </c>
    </row>
    <row r="20">
      <c r="A20" s="3" t="n">
        <v>4</v>
      </c>
      <c r="B20" s="9">
        <f>_xlfn.BINOM.DIST(A20,$B$3,$B$4,FALSE)</f>
        <v/>
      </c>
      <c r="C20" s="9">
        <f>_xlfn.BINOM.DIST(A20,$B$3,$B$4,TRUE)</f>
        <v/>
      </c>
    </row>
    <row r="21">
      <c r="A21" s="3" t="n">
        <v>5</v>
      </c>
      <c r="B21" s="9">
        <f>_xlfn.BINOM.DIST(A21,$B$3,$B$4,FALSE)</f>
        <v/>
      </c>
      <c r="C21" s="9">
        <f>_xlfn.BINOM.DIST(A21,$B$3,$B$4,TRUE)</f>
        <v/>
      </c>
    </row>
    <row r="22">
      <c r="A22" s="6" t="inlineStr">
        <is>
          <t>Total</t>
        </is>
      </c>
      <c r="B22" s="11">
        <f>SUM(B16:B21)</f>
        <v/>
      </c>
    </row>
    <row r="24">
      <c r="A24" s="4" t="inlineStr">
        <is>
          <t>Change n, p or k in the yellow cells: the exact value, the tail and the whole distribution recalculate.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SABIC project team: Engineers on a random team (hypergeometric)</t>
        </is>
      </c>
    </row>
    <row r="3">
      <c r="A3" s="6" t="inlineStr">
        <is>
          <t>N</t>
        </is>
      </c>
      <c r="B3" s="5" t="n">
        <v>20</v>
      </c>
      <c r="C3" s="4" t="inlineStr">
        <is>
          <t>Total population size (20 employees).</t>
        </is>
      </c>
    </row>
    <row r="4">
      <c r="A4" s="6" t="inlineStr">
        <is>
          <t>S</t>
        </is>
      </c>
      <c r="B4" s="5" t="n">
        <v>12</v>
      </c>
      <c r="C4" s="4" t="inlineStr">
        <is>
          <t>Number of "successes" in the population (12 Engineers).</t>
        </is>
      </c>
    </row>
    <row r="5">
      <c r="A5" s="6" t="inlineStr">
        <is>
          <t>n</t>
        </is>
      </c>
      <c r="B5" s="5" t="n">
        <v>5</v>
      </c>
      <c r="C5" s="4" t="inlineStr">
        <is>
          <t>Sample size (5 people on the team).</t>
        </is>
      </c>
    </row>
    <row r="6">
      <c r="A6" s="6" t="inlineStr">
        <is>
          <t>k</t>
        </is>
      </c>
      <c r="B6" s="5" t="n">
        <v>4</v>
      </c>
      <c r="C6" s="4" t="inlineStr">
        <is>
          <t>Number of "successes" in the sample we ask about.</t>
        </is>
      </c>
    </row>
    <row r="8">
      <c r="A8" s="6" t="inlineStr">
        <is>
          <t>P(X = k)   exactly k Engineers</t>
        </is>
      </c>
      <c r="D8" s="9">
        <f>_xlfn.HYPGEOM.DIST(B6,B5,B4,B3,FALSE)</f>
        <v/>
      </c>
    </row>
    <row r="9">
      <c r="A9" s="6" t="inlineStr">
        <is>
          <t>P(X = n)   the whole team is Engineers</t>
        </is>
      </c>
      <c r="D9" s="9">
        <f>_xlfn.HYPGEOM.DIST(B5,B5,B4,B3,FALSE)</f>
        <v/>
      </c>
    </row>
    <row r="10">
      <c r="A10" s="6" t="inlineStr">
        <is>
          <t>P(X &gt;= k) = 1 - P(X &lt;= k-1)   the unbalanced-team risk</t>
        </is>
      </c>
      <c r="D10" s="9">
        <f>1-_xlfn.HYPGEOM.DIST(B6-1,B5,B4,B3,TRUE)</f>
        <v/>
      </c>
    </row>
    <row r="11">
      <c r="A11" s="6" t="inlineStr">
        <is>
          <t>The same by hand: COMBIN pieces from Chapter 5</t>
        </is>
      </c>
      <c r="D11" s="9">
        <f>COMBIN(B4,B6)*COMBIN(B3-B4,B5-B6)/COMBIN(B3,B5)</f>
        <v/>
      </c>
    </row>
    <row r="12">
      <c r="A12" s="6" t="inlineStr">
        <is>
          <t>Mean  n*S/N Engineers per random team</t>
        </is>
      </c>
      <c r="D12" s="9">
        <f>B5*B4/B3</f>
        <v/>
      </c>
    </row>
    <row r="14">
      <c r="A14" s="6" t="inlineStr">
        <is>
          <t>The whole distribution</t>
        </is>
      </c>
    </row>
    <row r="15">
      <c r="A15" s="10" t="inlineStr">
        <is>
          <t>k</t>
        </is>
      </c>
      <c r="B15" s="10" t="inlineStr">
        <is>
          <t>P(X = k)  HYPGEOM.DIST(k, n, S, N, FALSE)</t>
        </is>
      </c>
    </row>
    <row r="16">
      <c r="A16" s="3" t="n">
        <v>0</v>
      </c>
      <c r="B16" s="9">
        <f>_xlfn.HYPGEOM.DIST(A16,$B$5,$B$4,$B$3,FALSE)</f>
        <v/>
      </c>
    </row>
    <row r="17">
      <c r="A17" s="3" t="n">
        <v>1</v>
      </c>
      <c r="B17" s="9">
        <f>_xlfn.HYPGEOM.DIST(A17,$B$5,$B$4,$B$3,FALSE)</f>
        <v/>
      </c>
    </row>
    <row r="18">
      <c r="A18" s="3" t="n">
        <v>2</v>
      </c>
      <c r="B18" s="9">
        <f>_xlfn.HYPGEOM.DIST(A18,$B$5,$B$4,$B$3,FALSE)</f>
        <v/>
      </c>
    </row>
    <row r="19">
      <c r="A19" s="3" t="n">
        <v>3</v>
      </c>
      <c r="B19" s="9">
        <f>_xlfn.HYPGEOM.DIST(A19,$B$5,$B$4,$B$3,FALSE)</f>
        <v/>
      </c>
    </row>
    <row r="20">
      <c r="A20" s="3" t="n">
        <v>4</v>
      </c>
      <c r="B20" s="9">
        <f>_xlfn.HYPGEOM.DIST(A20,$B$5,$B$4,$B$3,FALSE)</f>
        <v/>
      </c>
    </row>
    <row r="21">
      <c r="A21" s="3" t="n">
        <v>5</v>
      </c>
      <c r="B21" s="9">
        <f>_xlfn.HYPGEOM.DIST(A21,$B$5,$B$4,$B$3,FALSE)</f>
        <v/>
      </c>
    </row>
    <row r="22">
      <c r="A22" s="6" t="inlineStr">
        <is>
          <t>Total</t>
        </is>
      </c>
      <c r="B22" s="11">
        <f>SUM(B16:B21)</f>
        <v/>
      </c>
    </row>
    <row r="24">
      <c r="A24" s="4" t="inlineStr">
        <is>
          <t>Sampling without replacement: change N, S, n or k and every probability recalculates.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48" customWidth="1" min="3" max="3"/>
    <col width="14" customWidth="1" min="4" max="4"/>
  </cols>
  <sheetData>
    <row r="1">
      <c r="A1" s="1" t="inlineStr">
        <is>
          <t>The call centre: calls in one minute (Poisson)</t>
        </is>
      </c>
    </row>
    <row r="3">
      <c r="A3" s="6" t="inlineStr">
        <is>
          <t>lambda</t>
        </is>
      </c>
      <c r="B3" s="5" t="n">
        <v>5</v>
      </c>
      <c r="C3" s="4" t="inlineStr">
        <is>
          <t>The average number of events per interval (5 calls per minute).</t>
        </is>
      </c>
    </row>
    <row r="4">
      <c r="A4" s="6" t="inlineStr">
        <is>
          <t>k</t>
        </is>
      </c>
      <c r="B4" s="5" t="n">
        <v>3</v>
      </c>
      <c r="C4" s="4" t="inlineStr">
        <is>
          <t>The number of events we ask about.</t>
        </is>
      </c>
    </row>
    <row r="6">
      <c r="A6" s="6" t="inlineStr">
        <is>
          <t>P(X = k)   exactly k calls</t>
        </is>
      </c>
      <c r="D6" s="9">
        <f>_xlfn.POISSON.DIST(B4,B3,FALSE)</f>
        <v/>
      </c>
    </row>
    <row r="7">
      <c r="A7" s="6" t="inlineStr">
        <is>
          <t>P(X &lt;= k)   k or fewer, cumulative</t>
        </is>
      </c>
      <c r="D7" s="9">
        <f>_xlfn.POISSON.DIST(B4,B3,TRUE)</f>
        <v/>
      </c>
    </row>
    <row r="8">
      <c r="A8" s="6" t="inlineStr">
        <is>
          <t>P(X &gt; k) = 1 - P(X &lt;= k)   the overwhelmed-desk risk</t>
        </is>
      </c>
      <c r="D8" s="9">
        <f>1-_xlfn.POISSON.DIST(B4,B3,TRUE)</f>
        <v/>
      </c>
    </row>
    <row r="9">
      <c r="A9" s="6" t="inlineStr">
        <is>
          <t>The same by hand: EXP and FACT</t>
        </is>
      </c>
      <c r="D9" s="9">
        <f>EXP(-B3)*B3^B4/FACT(B4)</f>
        <v/>
      </c>
    </row>
    <row r="10">
      <c r="A10" s="6" t="inlineStr">
        <is>
          <t>Mean = lambda, and the variance is ALSO lambda</t>
        </is>
      </c>
      <c r="D10" s="9">
        <f>B3</f>
        <v/>
      </c>
    </row>
    <row r="11">
      <c r="A11" s="6" t="inlineStr">
        <is>
          <t>Standard deviation  SQRT(lambda)</t>
        </is>
      </c>
      <c r="D11" s="9">
        <f>SQRT(B3)</f>
        <v/>
      </c>
    </row>
    <row r="13">
      <c r="A13" s="6" t="inlineStr">
        <is>
          <t>The whole distribution (k = 0 to 12; the tail continues with tiny probabilities)</t>
        </is>
      </c>
    </row>
    <row r="14">
      <c r="A14" s="10" t="inlineStr">
        <is>
          <t>k</t>
        </is>
      </c>
      <c r="B14" s="10" t="inlineStr">
        <is>
          <t>P(X = k)  POISSON.DIST(k, lambda, FALSE)</t>
        </is>
      </c>
      <c r="C14" s="10" t="inlineStr">
        <is>
          <t>P(X &lt;= k)  cumulative TRUE</t>
        </is>
      </c>
    </row>
    <row r="15">
      <c r="A15" s="3" t="n">
        <v>0</v>
      </c>
      <c r="B15" s="9">
        <f>_xlfn.POISSON.DIST(A15,$B$3,FALSE)</f>
        <v/>
      </c>
      <c r="C15" s="9">
        <f>_xlfn.POISSON.DIST(A15,$B$3,TRUE)</f>
        <v/>
      </c>
    </row>
    <row r="16">
      <c r="A16" s="3" t="n">
        <v>1</v>
      </c>
      <c r="B16" s="9">
        <f>_xlfn.POISSON.DIST(A16,$B$3,FALSE)</f>
        <v/>
      </c>
      <c r="C16" s="9">
        <f>_xlfn.POISSON.DIST(A16,$B$3,TRUE)</f>
        <v/>
      </c>
    </row>
    <row r="17">
      <c r="A17" s="3" t="n">
        <v>2</v>
      </c>
      <c r="B17" s="9">
        <f>_xlfn.POISSON.DIST(A17,$B$3,FALSE)</f>
        <v/>
      </c>
      <c r="C17" s="9">
        <f>_xlfn.POISSON.DIST(A17,$B$3,TRUE)</f>
        <v/>
      </c>
    </row>
    <row r="18">
      <c r="A18" s="3" t="n">
        <v>3</v>
      </c>
      <c r="B18" s="9">
        <f>_xlfn.POISSON.DIST(A18,$B$3,FALSE)</f>
        <v/>
      </c>
      <c r="C18" s="9">
        <f>_xlfn.POISSON.DIST(A18,$B$3,TRUE)</f>
        <v/>
      </c>
    </row>
    <row r="19">
      <c r="A19" s="3" t="n">
        <v>4</v>
      </c>
      <c r="B19" s="9">
        <f>_xlfn.POISSON.DIST(A19,$B$3,FALSE)</f>
        <v/>
      </c>
      <c r="C19" s="9">
        <f>_xlfn.POISSON.DIST(A19,$B$3,TRUE)</f>
        <v/>
      </c>
    </row>
    <row r="20">
      <c r="A20" s="3" t="n">
        <v>5</v>
      </c>
      <c r="B20" s="9">
        <f>_xlfn.POISSON.DIST(A20,$B$3,FALSE)</f>
        <v/>
      </c>
      <c r="C20" s="9">
        <f>_xlfn.POISSON.DIST(A20,$B$3,TRUE)</f>
        <v/>
      </c>
    </row>
    <row r="21">
      <c r="A21" s="3" t="n">
        <v>6</v>
      </c>
      <c r="B21" s="9">
        <f>_xlfn.POISSON.DIST(A21,$B$3,FALSE)</f>
        <v/>
      </c>
      <c r="C21" s="9">
        <f>_xlfn.POISSON.DIST(A21,$B$3,TRUE)</f>
        <v/>
      </c>
    </row>
    <row r="22">
      <c r="A22" s="3" t="n">
        <v>7</v>
      </c>
      <c r="B22" s="9">
        <f>_xlfn.POISSON.DIST(A22,$B$3,FALSE)</f>
        <v/>
      </c>
      <c r="C22" s="9">
        <f>_xlfn.POISSON.DIST(A22,$B$3,TRUE)</f>
        <v/>
      </c>
    </row>
    <row r="23">
      <c r="A23" s="3" t="n">
        <v>8</v>
      </c>
      <c r="B23" s="9">
        <f>_xlfn.POISSON.DIST(A23,$B$3,FALSE)</f>
        <v/>
      </c>
      <c r="C23" s="9">
        <f>_xlfn.POISSON.DIST(A23,$B$3,TRUE)</f>
        <v/>
      </c>
    </row>
    <row r="24">
      <c r="A24" s="3" t="n">
        <v>9</v>
      </c>
      <c r="B24" s="9">
        <f>_xlfn.POISSON.DIST(A24,$B$3,FALSE)</f>
        <v/>
      </c>
      <c r="C24" s="9">
        <f>_xlfn.POISSON.DIST(A24,$B$3,TRUE)</f>
        <v/>
      </c>
    </row>
    <row r="25">
      <c r="A25" s="3" t="n">
        <v>10</v>
      </c>
      <c r="B25" s="9">
        <f>_xlfn.POISSON.DIST(A25,$B$3,FALSE)</f>
        <v/>
      </c>
      <c r="C25" s="9">
        <f>_xlfn.POISSON.DIST(A25,$B$3,TRUE)</f>
        <v/>
      </c>
    </row>
    <row r="26">
      <c r="A26" s="3" t="n">
        <v>11</v>
      </c>
      <c r="B26" s="9">
        <f>_xlfn.POISSON.DIST(A26,$B$3,FALSE)</f>
        <v/>
      </c>
      <c r="C26" s="9">
        <f>_xlfn.POISSON.DIST(A26,$B$3,TRUE)</f>
        <v/>
      </c>
    </row>
    <row r="27">
      <c r="A27" s="3" t="n">
        <v>12</v>
      </c>
      <c r="B27" s="9">
        <f>_xlfn.POISSON.DIST(A27,$B$3,FALSE)</f>
        <v/>
      </c>
      <c r="C27" s="9">
        <f>_xlfn.POISSON.DIST(A27,$B$3,TRUE)</f>
        <v/>
      </c>
    </row>
    <row r="29">
      <c r="A29" s="4" t="inlineStr">
        <is>
          <t>Staffing experiment: set k to the number of employees and read P(X &gt; k), the risk of being overwhelmed.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6" customWidth="1" min="5" max="5"/>
    <col width="4" customWidth="1" min="6" max="6"/>
    <col width="40" customWidth="1" min="7" max="7"/>
    <col width="12" customWidth="1" min="8" max="8"/>
  </cols>
  <sheetData>
    <row r="1">
      <c r="A1" s="1" t="inlineStr">
        <is>
          <t>General discrete distribution template</t>
        </is>
      </c>
    </row>
    <row r="3">
      <c r="A3" s="2" t="inlineStr">
        <is>
          <t>x</t>
        </is>
      </c>
      <c r="B3" s="2" t="inlineStr">
        <is>
          <t>P(x)</t>
        </is>
      </c>
      <c r="C3" s="2" t="inlineStr">
        <is>
          <t>x*P(x)</t>
        </is>
      </c>
      <c r="D3" s="2" t="inlineStr">
        <is>
          <t>(x-mu)^2</t>
        </is>
      </c>
      <c r="E3" s="2" t="inlineStr">
        <is>
          <t>P(x)*(x-mu)^2</t>
        </is>
      </c>
    </row>
    <row r="4">
      <c r="A4" s="5" t="n">
        <v>0</v>
      </c>
      <c r="B4" s="5" t="n">
        <v>0.1</v>
      </c>
      <c r="C4" s="3">
        <f>IF(B4="","",A4*B4)</f>
        <v/>
      </c>
      <c r="D4" s="3">
        <f>IF(B4="","",(A4-H$5)^2)</f>
        <v/>
      </c>
      <c r="E4" s="3">
        <f>IF(B4="","",B4*D4)</f>
        <v/>
      </c>
      <c r="G4" s="6" t="inlineStr">
        <is>
          <t>Rule check: the probabilities add to</t>
        </is>
      </c>
      <c r="H4" s="7">
        <f>SUM(B4:B11)</f>
        <v/>
      </c>
    </row>
    <row r="5">
      <c r="A5" s="5" t="n">
        <v>1</v>
      </c>
      <c r="B5" s="5" t="n">
        <v>0.2</v>
      </c>
      <c r="C5" s="3">
        <f>IF(B5="","",A5*B5)</f>
        <v/>
      </c>
      <c r="D5" s="3">
        <f>IF(B5="","",(A5-H$5)^2)</f>
        <v/>
      </c>
      <c r="E5" s="3">
        <f>IF(B5="","",B5*D5)</f>
        <v/>
      </c>
      <c r="G5" s="6" t="inlineStr">
        <is>
          <t>Mean (expected value)  mu</t>
        </is>
      </c>
      <c r="H5" s="8">
        <f>SUMPRODUCT(A4:A11,B4:B11)</f>
        <v/>
      </c>
    </row>
    <row r="6">
      <c r="A6" s="5" t="n">
        <v>2</v>
      </c>
      <c r="B6" s="5" t="n">
        <v>0.4</v>
      </c>
      <c r="C6" s="3">
        <f>IF(B6="","",A6*B6)</f>
        <v/>
      </c>
      <c r="D6" s="3">
        <f>IF(B6="","",(A6-H$5)^2)</f>
        <v/>
      </c>
      <c r="E6" s="3">
        <f>IF(B6="","",B6*D6)</f>
        <v/>
      </c>
      <c r="G6" s="6" t="inlineStr">
        <is>
          <t>Variance  sigma^2</t>
        </is>
      </c>
      <c r="H6" s="8">
        <f>SUM(E4:E11)</f>
        <v/>
      </c>
    </row>
    <row r="7">
      <c r="A7" s="5" t="n">
        <v>3</v>
      </c>
      <c r="B7" s="5" t="n">
        <v>0.2</v>
      </c>
      <c r="C7" s="3">
        <f>IF(B7="","",A7*B7)</f>
        <v/>
      </c>
      <c r="D7" s="3">
        <f>IF(B7="","",(A7-H$5)^2)</f>
        <v/>
      </c>
      <c r="E7" s="3">
        <f>IF(B7="","",B7*D7)</f>
        <v/>
      </c>
      <c r="G7" s="6" t="inlineStr">
        <is>
          <t>Standard deviation  sigma</t>
        </is>
      </c>
      <c r="H7" s="8">
        <f>SQRT(H6)</f>
        <v/>
      </c>
    </row>
    <row r="8">
      <c r="A8" s="5" t="n">
        <v>4</v>
      </c>
      <c r="B8" s="5" t="n">
        <v>0.1</v>
      </c>
      <c r="C8" s="3">
        <f>IF(B8="","",A8*B8)</f>
        <v/>
      </c>
      <c r="D8" s="3">
        <f>IF(B8="","",(A8-H$5)^2)</f>
        <v/>
      </c>
      <c r="E8" s="3">
        <f>IF(B8="","",B8*D8)</f>
        <v/>
      </c>
    </row>
    <row r="9">
      <c r="A9" s="5" t="n"/>
      <c r="B9" s="5" t="n"/>
      <c r="C9" s="3">
        <f>IF(B9="","",A9*B9)</f>
        <v/>
      </c>
      <c r="D9" s="3">
        <f>IF(B9="","",(A9-H$5)^2)</f>
        <v/>
      </c>
      <c r="E9" s="3">
        <f>IF(B9="","",B9*D9)</f>
        <v/>
      </c>
      <c r="G9" s="6">
        <f>IF(ABS(H4-1)&gt;0.001,"CHECK: the probabilities must add to exactly 1","OK: a valid probability distribution")</f>
        <v/>
      </c>
    </row>
    <row r="10">
      <c r="A10" s="5" t="n"/>
      <c r="B10" s="5" t="n"/>
      <c r="C10" s="3">
        <f>IF(B10="","",A10*B10)</f>
        <v/>
      </c>
      <c r="D10" s="3">
        <f>IF(B10="","",(A10-H$5)^2)</f>
        <v/>
      </c>
      <c r="E10" s="3">
        <f>IF(B10="","",B10*D10)</f>
        <v/>
      </c>
    </row>
    <row r="11">
      <c r="A11" s="5" t="n"/>
      <c r="B11" s="5" t="n"/>
      <c r="C11" s="3">
        <f>IF(B11="","",A11*B11)</f>
        <v/>
      </c>
      <c r="D11" s="3">
        <f>IF(B11="","",(A11-H$5)^2)</f>
        <v/>
      </c>
      <c r="E11" s="3">
        <f>IF(B11="","",B11*D11)</f>
        <v/>
      </c>
    </row>
    <row r="12">
      <c r="A12" s="6" t="inlineStr">
        <is>
          <t>Total</t>
        </is>
      </c>
      <c r="B12" s="6">
        <f>SUM(B4:B11)</f>
        <v/>
      </c>
      <c r="C12" s="6">
        <f>SUM(C4:C11)</f>
        <v/>
      </c>
      <c r="E12" s="6">
        <f>SUM(E4:E11)</f>
        <v/>
      </c>
    </row>
    <row r="14">
      <c r="A14" s="4" t="inlineStr">
        <is>
          <t>How to use: type the values of your random variable in column A and their probabilities in column B</t>
        </is>
      </c>
    </row>
    <row r="15">
      <c r="A15" s="4" t="inlineStr">
        <is>
          <t>(yellow cells, up to 8 rows; leave unused rows empty). The mean, variance and standard deviation recalculate.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2026-08-23T11:47:03Z</dcterms:created>
  <dcterms:modified xmlns:dcterms="http://purl.org/dc/terms/" xmlns:xsi="http://www.w3.org/2001/XMLSchema-instance" xsi:type="dcterms:W3CDTF">2026-08-23T11:47:03Z</dcterms:modified>
</cp:coreProperties>
</file>